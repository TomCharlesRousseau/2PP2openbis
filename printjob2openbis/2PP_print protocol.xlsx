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GFS02\G42b\54LaufendePROJEKTE\PROJECTS\2025_VH5041_TransNanoAF\Digitalization\2PP in OpenBis\"/>
    </mc:Choice>
  </mc:AlternateContent>
  <xr:revisionPtr revIDLastSave="0" documentId="13_ncr:1_{479B5A34-06A1-4978-B0CB-5F69E8E1725E}" xr6:coauthVersionLast="47" xr6:coauthVersionMax="47" xr10:uidLastSave="{00000000-0000-0000-0000-000000000000}"/>
  <bookViews>
    <workbookView xWindow="-108" yWindow="-108" windowWidth="23256" windowHeight="12456" xr2:uid="{4310EEDB-B2AF-4138-9C1A-9AE901478700}"/>
  </bookViews>
  <sheets>
    <sheet name="Tabelle1" sheetId="1" r:id="rId1"/>
    <sheet name="Stammdaten" sheetId="2" r:id="rId2"/>
  </sheets>
  <definedNames>
    <definedName name="_xlnm._FilterDatabase" localSheetId="0" hidden="1">Tabelle1!$A$2:$AU$112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1" l="1"/>
  <c r="P63" i="1"/>
  <c r="P64" i="1"/>
  <c r="P65" i="1"/>
  <c r="P66" i="1"/>
  <c r="A67" i="1"/>
  <c r="A68" i="1"/>
  <c r="A69" i="1"/>
  <c r="A70" i="1"/>
  <c r="A71" i="1"/>
  <c r="A72" i="1"/>
  <c r="A73" i="1"/>
  <c r="A74" i="1"/>
  <c r="A75" i="1"/>
  <c r="A76" i="1"/>
  <c r="P61" i="1"/>
  <c r="P60" i="1"/>
  <c r="P59" i="1"/>
  <c r="P58" i="1"/>
  <c r="P57" i="1"/>
  <c r="P56" i="1"/>
  <c r="A60" i="1"/>
  <c r="A61" i="1"/>
  <c r="A62" i="1"/>
  <c r="A63" i="1"/>
  <c r="A64" i="1"/>
  <c r="A65" i="1"/>
  <c r="A66" i="1"/>
  <c r="A58" i="1"/>
  <c r="A59" i="1"/>
  <c r="P51" i="1"/>
  <c r="P52" i="1"/>
  <c r="P53" i="1"/>
  <c r="P54" i="1"/>
  <c r="P55" i="1"/>
  <c r="P50" i="1"/>
  <c r="H50" i="1"/>
  <c r="P49" i="1"/>
  <c r="P48" i="1"/>
  <c r="P47" i="1"/>
  <c r="H49" i="1"/>
  <c r="H48" i="1"/>
  <c r="H47" i="1"/>
  <c r="P46" i="1"/>
  <c r="H46" i="1"/>
  <c r="P45" i="1"/>
  <c r="H45" i="1"/>
  <c r="H44" i="1"/>
  <c r="A39" i="1"/>
  <c r="A40" i="1"/>
  <c r="H24" i="1"/>
  <c r="H25" i="1"/>
  <c r="H26" i="1"/>
  <c r="H27" i="1"/>
  <c r="H28" i="1"/>
  <c r="H29" i="1"/>
  <c r="H30" i="1"/>
  <c r="H31" i="1"/>
  <c r="H32" i="1"/>
  <c r="H33" i="1"/>
  <c r="H35" i="1"/>
  <c r="H36" i="1"/>
  <c r="H37" i="1"/>
  <c r="H38" i="1"/>
  <c r="H41" i="1"/>
  <c r="H42" i="1"/>
  <c r="H43" i="1"/>
  <c r="V38" i="1"/>
  <c r="S38" i="1"/>
  <c r="P38" i="1"/>
  <c r="V33" i="1"/>
  <c r="V34" i="1"/>
  <c r="V35" i="1"/>
  <c r="V36" i="1"/>
  <c r="V37" i="1"/>
  <c r="V41" i="1"/>
  <c r="V42" i="1"/>
  <c r="V43" i="1"/>
  <c r="V44" i="1"/>
  <c r="S33" i="1"/>
  <c r="S34" i="1"/>
  <c r="S35" i="1"/>
  <c r="S36" i="1"/>
  <c r="S37" i="1"/>
  <c r="S41" i="1"/>
  <c r="S42" i="1"/>
  <c r="S43" i="1"/>
  <c r="S44" i="1"/>
  <c r="P34" i="1"/>
  <c r="P35" i="1"/>
  <c r="P36" i="1"/>
  <c r="P37" i="1"/>
  <c r="P41" i="1"/>
  <c r="P42" i="1"/>
  <c r="P43" i="1"/>
  <c r="P44" i="1"/>
  <c r="P33" i="1"/>
  <c r="AQ28" i="1"/>
  <c r="P32" i="1"/>
  <c r="S32" i="1"/>
  <c r="V32" i="1"/>
  <c r="V31" i="1"/>
  <c r="S30" i="1"/>
  <c r="S31" i="1"/>
  <c r="P30" i="1"/>
  <c r="P31" i="1"/>
  <c r="V27" i="1"/>
  <c r="V28" i="1"/>
  <c r="V29" i="1"/>
  <c r="V30" i="1"/>
  <c r="P27" i="1"/>
  <c r="P28" i="1"/>
  <c r="P29" i="1"/>
  <c r="V26" i="1"/>
  <c r="P26" i="1"/>
  <c r="P24" i="1"/>
  <c r="P25" i="1"/>
  <c r="V25" i="1"/>
  <c r="V24" i="1"/>
  <c r="S24" i="1"/>
  <c r="S25" i="1"/>
  <c r="S26" i="1"/>
  <c r="S27" i="1"/>
  <c r="S28" i="1"/>
  <c r="S29" i="1"/>
  <c r="V23" i="1"/>
  <c r="S23" i="1"/>
  <c r="P23" i="1"/>
  <c r="V22" i="1"/>
  <c r="S22" i="1"/>
  <c r="P22" i="1"/>
  <c r="H22" i="1"/>
  <c r="H23" i="1"/>
  <c r="H21" i="1"/>
  <c r="H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1" i="1"/>
  <c r="H52" i="1"/>
  <c r="H53" i="1"/>
  <c r="H54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9" i="1"/>
  <c r="AQ30" i="1"/>
  <c r="AQ31" i="1"/>
  <c r="AQ32" i="1"/>
  <c r="AQ33" i="1"/>
  <c r="AQ34" i="1"/>
  <c r="AQ35" i="1"/>
  <c r="AQ36" i="1"/>
  <c r="AQ37" i="1"/>
  <c r="AQ38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3" i="1"/>
  <c r="A55" i="1"/>
  <c r="A56" i="1"/>
  <c r="A5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3" i="1"/>
  <c r="V18" i="1"/>
  <c r="S18" i="1"/>
  <c r="P18" i="1"/>
  <c r="P19" i="1"/>
  <c r="P20" i="1"/>
  <c r="P21" i="1"/>
  <c r="V14" i="1"/>
  <c r="S14" i="1"/>
  <c r="P14" i="1"/>
  <c r="V19" i="1"/>
  <c r="S19" i="1"/>
  <c r="V12" i="1"/>
  <c r="S12" i="1"/>
  <c r="P12" i="1"/>
  <c r="P17" i="1"/>
  <c r="P16" i="1"/>
  <c r="P15" i="1"/>
  <c r="P13" i="1"/>
  <c r="P11" i="1"/>
  <c r="P10" i="1"/>
  <c r="V21" i="1"/>
  <c r="V20" i="1"/>
  <c r="V17" i="1"/>
  <c r="V16" i="1"/>
  <c r="V15" i="1"/>
  <c r="V13" i="1"/>
  <c r="V11" i="1"/>
  <c r="V10" i="1"/>
  <c r="S10" i="1"/>
  <c r="S11" i="1"/>
  <c r="S13" i="1"/>
  <c r="S15" i="1"/>
  <c r="S16" i="1"/>
  <c r="S17" i="1"/>
  <c r="S20" i="1"/>
  <c r="S21" i="1"/>
</calcChain>
</file>

<file path=xl/sharedStrings.xml><?xml version="1.0" encoding="utf-8"?>
<sst xmlns="http://schemas.openxmlformats.org/spreadsheetml/2006/main" count="983" uniqueCount="288">
  <si>
    <t>Lense</t>
  </si>
  <si>
    <t>63 x 1.4</t>
  </si>
  <si>
    <t>Name</t>
  </si>
  <si>
    <t>Print date</t>
  </si>
  <si>
    <t>Substrate</t>
  </si>
  <si>
    <t>Infinite FOV</t>
  </si>
  <si>
    <t>On</t>
  </si>
  <si>
    <t>Resin</t>
  </si>
  <si>
    <t>Washing date</t>
  </si>
  <si>
    <t>CPD date</t>
  </si>
  <si>
    <t>z0</t>
  </si>
  <si>
    <t>zmax</t>
  </si>
  <si>
    <t>Washing solvent</t>
  </si>
  <si>
    <t>Tilt compensation</t>
  </si>
  <si>
    <t>CPD settings</t>
  </si>
  <si>
    <t>Print object</t>
  </si>
  <si>
    <t>Print #</t>
  </si>
  <si>
    <t>max z height [µm]</t>
  </si>
  <si>
    <t>Off</t>
  </si>
  <si>
    <t>Isopropanol</t>
  </si>
  <si>
    <t>SEM green state</t>
  </si>
  <si>
    <t>SEM sintered</t>
  </si>
  <si>
    <t>Sintering</t>
  </si>
  <si>
    <t>Furnace</t>
  </si>
  <si>
    <t>Imaging</t>
  </si>
  <si>
    <t>Drying</t>
  </si>
  <si>
    <t>Washing</t>
  </si>
  <si>
    <t>Femtika settings</t>
  </si>
  <si>
    <t>Sandwich</t>
  </si>
  <si>
    <t>General data</t>
  </si>
  <si>
    <t>R</t>
  </si>
  <si>
    <t>Comments</t>
  </si>
  <si>
    <t>Max power from calibration</t>
  </si>
  <si>
    <t>CPD program</t>
  </si>
  <si>
    <t>jmuelle4</t>
  </si>
  <si>
    <t>alinden</t>
  </si>
  <si>
    <t>fblessma</t>
  </si>
  <si>
    <t>3DPoli path</t>
  </si>
  <si>
    <t>Resin ID</t>
  </si>
  <si>
    <t>20260205131700798-40543</t>
  </si>
  <si>
    <t>20260205 3YSZ 78w%</t>
  </si>
  <si>
    <t>Substrate ID</t>
  </si>
  <si>
    <t>ymax</t>
  </si>
  <si>
    <t>zmin</t>
  </si>
  <si>
    <t>ymin</t>
  </si>
  <si>
    <t>xmin</t>
  </si>
  <si>
    <t>xmax</t>
  </si>
  <si>
    <t>max x height [µm]</t>
  </si>
  <si>
    <t>LiMi green state</t>
  </si>
  <si>
    <t>LiMi sintered</t>
  </si>
  <si>
    <t>Profile Path</t>
  </si>
  <si>
    <t>Femtika</t>
  </si>
  <si>
    <t>F path</t>
  </si>
  <si>
    <t>OpenBIS</t>
  </si>
  <si>
    <t>upload</t>
  </si>
  <si>
    <t>uploaded</t>
  </si>
  <si>
    <t>Yes</t>
  </si>
  <si>
    <t>No</t>
  </si>
  <si>
    <t>LinnTherm 7</t>
  </si>
  <si>
    <t>LinnTherm 10</t>
  </si>
  <si>
    <t>Furnace ID</t>
  </si>
  <si>
    <t>Sintering Date</t>
  </si>
  <si>
    <t>Design</t>
  </si>
  <si>
    <t>Person</t>
  </si>
  <si>
    <t>SP large infill test</t>
  </si>
  <si>
    <t>20260304152450862-47019</t>
  </si>
  <si>
    <t>UV Sheet 2 vom 04.03.2026</t>
  </si>
  <si>
    <t>Spacer</t>
  </si>
  <si>
    <t>3 Tapes</t>
  </si>
  <si>
    <t>Hybrid Pillar Array</t>
  </si>
  <si>
    <t>Glas</t>
  </si>
  <si>
    <t>2 Tapes</t>
  </si>
  <si>
    <t>20251209154344843-23579</t>
  </si>
  <si>
    <t>20250616 3YSZ in PEG-DA for 2PP-Kombi</t>
  </si>
  <si>
    <t>2x WMS</t>
  </si>
  <si>
    <t>1x WMS --&gt; Fehler in Skalierunge</t>
  </si>
  <si>
    <t>2 Tapes. 2s UV</t>
  </si>
  <si>
    <t>\\GFS02\G42b\54LaufendePROJEKTE\PROJECTS\2025_VH5041_TransNanoAF\2PP\Experimente chronologisch\20260319 Pillar Zylinder Array 6mW.txt</t>
  </si>
  <si>
    <t>\\GFS02\G42b\54LaufendePROJEKTE\PROJECTS\2025_VH5041_TransNanoAF\2PP\Experimente chronologisch\20260316 Pillar Zylinder Array.txt</t>
  </si>
  <si>
    <t>\\GFS02\G42b\54LaufendePROJEKTE\PROJECTS\2025_VH5041_TransNanoAF\2PP\Experimente chronologisch\20260316 Pillar Zylinder Array 6mW.txt</t>
  </si>
  <si>
    <t>\\GFS02\G42b\54LaufendePROJEKTE\PROJECTS\2025_VH5041_TransNanoAF\2PP\Experimente chronologisch\20260313_SP2x2x2_infill-line-distance_Array.txt</t>
  </si>
  <si>
    <t>Hybrid Pillar Array  &amp;Mw</t>
  </si>
  <si>
    <t>UV-Sheet 3 vom 04.03.2026</t>
  </si>
  <si>
    <t>Coordinate System Origin Test</t>
  </si>
  <si>
    <t>UV-Sheet Text</t>
  </si>
  <si>
    <t>DataMatrix Code Test</t>
  </si>
  <si>
    <t>Pillars_TPMS</t>
  </si>
  <si>
    <t>max y height [µm]</t>
  </si>
  <si>
    <t>\\GFS02\G42b\54LaufendePROJEKTE\PROJECTS\2025_VH5041_TransNanoAF\2PP\Experimente chronologisch\20260317_Pillars.txt</t>
  </si>
  <si>
    <t>\\GFS02\G42b\54LaufendePROJEKTE\PROJECTS\2025_VH5041_TransNanoAF\2PP\Experimente chronologisch\20260317_New_UV-Sheet_Template.txt</t>
  </si>
  <si>
    <t>\\GFS02\G42b\54LaufendePROJEKTE\PROJECTS\2025_VH5041_TransNanoAF\2PP\Experimente chronologisch\20260317_Data_Matrix_Code_Test.txt</t>
  </si>
  <si>
    <t>\\GFS02\G42b\54LaufendePROJEKTE\PROJECTS\2025_VH5041_TransNanoAF\2PP\Experimente chronologisch\20260317_Origin_Coordinate_System.txt</t>
  </si>
  <si>
    <t>20260304152609654-47020</t>
  </si>
  <si>
    <t>20 x 0.45</t>
  </si>
  <si>
    <t>Multidirectional Slicing SchwarzP</t>
  </si>
  <si>
    <t>Gradual Gratings</t>
  </si>
  <si>
    <t>Text und BAM Logo</t>
  </si>
  <si>
    <t>Line distance cubes Cura vs 3D-Poli</t>
  </si>
  <si>
    <t>UV-Sheet 9 vom 03.02.2026</t>
  </si>
  <si>
    <t>20260203153656357-40208</t>
  </si>
  <si>
    <t>2D dot matrix power x duration</t>
  </si>
  <si>
    <t>Multidirectional Slicing SchwarzD</t>
  </si>
  <si>
    <t>SchwarzP array 1-5 unit cells</t>
  </si>
  <si>
    <t>UV-Sheet 1 vom 04.03.2026</t>
  </si>
  <si>
    <t>20260304152412162-47018</t>
  </si>
  <si>
    <t>2D dot matrix power x duration_2</t>
  </si>
  <si>
    <t>\\GFS02\G42b\54LaufendePROJEKTE\PROJECTS\2025_VH5041_TransNanoAF\2PP\Experimente chronologisch\20260309_Schwarz Diamond 3d-slicing.txt</t>
  </si>
  <si>
    <t>\\GFS02\G42b\54LaufendePROJEKTE\PROJECTS\2025_VH5041_TransNanoAF\2PP\Experimente chronologisch\20260305_Gradually Grating.txt</t>
  </si>
  <si>
    <t>\\GFS02\G42b\54LaufendePROJEKTE\PROJECTS\2025_VH5041_TransNanoAF\2PP\Experimente chronologisch\20260309_point matrix 2D power x duration.txt</t>
  </si>
  <si>
    <t>\\GFS02\G42b\54LaufendePROJEKTE\PROJECTS\2025_VH5041_TransNanoAF\2PP\Experimente chronologisch\20260310_SchwarzP 1-5 unit cells array.txt</t>
  </si>
  <si>
    <t>\\GFS02\G42b\54LaufendePROJEKTE\PROJECTS\2025_VH5041_TransNanoAF\2PP\Experimente chronologisch\20260305_Array multidirectional slicing SchwarzP.txt</t>
  </si>
  <si>
    <t>\\GFS02\G42b\54LaufendePROJEKTE\PROJECTS\2025_VH5041_TransNanoAF\2PP\Experimente chronologisch\20260303_array line distance 3Dpoli vs Cura.txt</t>
  </si>
  <si>
    <t>\\GFS02\G42b\54LaufendePROJEKTE\PROJECTS\2025_VH5041_TransNanoAF\2PP\Experimente chronologisch\20260303_Array mit Text Logo und QR Code-fix2.txt</t>
  </si>
  <si>
    <t>SchwarzP 2x2x2 array powerxspeed</t>
  </si>
  <si>
    <t>UV-Sheet 4 vom 04.03.2026</t>
  </si>
  <si>
    <t>20260304152642775-47021</t>
  </si>
  <si>
    <t>\\GFS02\G42b\54LaufendePROJEKTE\PROJECTS\2025_VH5041_TransNanoAF\2PP\Experimente chronologisch\20260414_SchwarzP-hollow_2x2x2_power-speed-array.txt</t>
  </si>
  <si>
    <t>20251027120457399-19808</t>
  </si>
  <si>
    <t>20251113141738982-20612</t>
  </si>
  <si>
    <t>20260126 8YSZ 75w%</t>
  </si>
  <si>
    <t>20260126125322691-38571</t>
  </si>
  <si>
    <t>"F:\PROJECTS\2025_VH5041_TransNanoAF\Digitalization\2PP in OpenBis\2PP_print protocol_20260213.xlsx"</t>
  </si>
  <si>
    <t>UV-Sheet 5 vom 04.03.2026</t>
  </si>
  <si>
    <t>20260304152747687-47022</t>
  </si>
  <si>
    <t>20251113100232864-20580</t>
  </si>
  <si>
    <t>20261107 3YSZ 78w%</t>
  </si>
  <si>
    <t>\\GFS02\G42b\54LaufendePROJEKTE\PROJECTS\2025_VH5041_TransNanoAF\2PP\Experimente chronologisch\20260415_SP2x2x2_infill-line-distance_Array.txt</t>
  </si>
  <si>
    <t>\\GFS02\G42b\54LaufendePROJEKTE\PROJECTS\2025_VH5041_TransNanoAF\2PP\Experimente chronologisch\20260415_SP2x2x2_infill-line-distance_Array 2.txt</t>
  </si>
  <si>
    <t>DataMatrix Code Test2</t>
  </si>
  <si>
    <t>SchwarzP 2x2x2 array z-offsetxlayerheight</t>
  </si>
  <si>
    <t>cubes 5x3 array</t>
  </si>
  <si>
    <t>Schwarz P 2x2x2 array powerxspeed2</t>
  </si>
  <si>
    <t>\\GFS02\G42b\54LaufendePROJEKTE\PROJECTS\2025_VH5041_TransNanoAF\2PP\Experimente chronologisch\20260422_SchwarzP-hollow_2x2x2_power-speed-array.txt</t>
  </si>
  <si>
    <t>\\GFS02\G42b\54LaufendePROJEKTE\PROJECTS\2025_VH5041_TransNanoAF\2PP\Experimente chronologisch\20260421_Cubes.txt</t>
  </si>
  <si>
    <t>\\GFS02\G42b\54LaufendePROJEKTE\PROJECTS\2025_VH5041_TransNanoAF\2PP\Experimente chronologisch\20260416_SchwarzP-hollow_2x2x2_zoffset-layerheight-array.txt</t>
  </si>
  <si>
    <t>\\GFS02\G42b\54LaufendePROJEKTE\PROJECTS\2025_VH5041_TransNanoAF\2PP\Experimente chronologisch\20260416_Data_Matrix_Code_Test2.txt</t>
  </si>
  <si>
    <t>UV Sheet noch nicht in openBIS! -&gt; nachtragen!</t>
  </si>
  <si>
    <t>cubes 3x3 array 7,8,9mW</t>
  </si>
  <si>
    <t>cubes 3x3 array 4,5,6mW</t>
  </si>
  <si>
    <t>cubes u Schwarz P array nanoindent(8mW)</t>
  </si>
  <si>
    <t>cubes u Schwarz P array nanoindent(5mW)</t>
  </si>
  <si>
    <t>speed array 3x5 5mW 1000-10000</t>
  </si>
  <si>
    <t>speed array 3x5 8mW 7500-17500</t>
  </si>
  <si>
    <t>\\GFS02\G42b\54LaufendePROJEKTE\PROJECTS\2025_VH5041_TransNanoAF\2PP\Experimente chronologisch\20260505_cubes-schwarzP-array-nanoindent_5mW.txt</t>
  </si>
  <si>
    <t>\\GFS02\G42b\54LaufendePROJEKTE\PROJECTS\2025_VH5041_TransNanoAF\2PP\Experimente chronologisch\20260505_cubes-schwarzP-array-nanoindent_8mW.txt</t>
  </si>
  <si>
    <t>\\GFS02\G42b\54LaufendePROJEKTE\PROJECTS\2025_VH5041_TransNanoAF\2PP\Experimente chronologisch\20260504_cubes-dense_8mW_3x3.txt</t>
  </si>
  <si>
    <t>\\GFS02\G42b\54LaufendePROJEKTE\PROJECTS\2025_VH5041_TransNanoAF\2PP\Experimente chronologisch\20260504_cubes-dense_5mW_3x3.txt</t>
  </si>
  <si>
    <t>\\GFS02\G42b\54LaufendePROJEKTE\PROJECTS\2025_VH5041_TransNanoAF\2PP\Experimente chronologisch\20260429_SchwarzP-hollow_2x2x2_5mW_speed-array.txt</t>
  </si>
  <si>
    <t>\\GFS02\G42b\54LaufendePROJEKTE\PROJECTS\2025_VH5041_TransNanoAF\2PP\Experimente chronologisch\20260429_SchwarzP-hollow_2x2x2_8mW_speed-array.txt</t>
  </si>
  <si>
    <t>UV-Sheet_0005-2</t>
  </si>
  <si>
    <t>20260430131253315-50863</t>
  </si>
  <si>
    <t>Bussi 100µm 1000 6mW</t>
  </si>
  <si>
    <t>Bussi 100µm 5000 4mW</t>
  </si>
  <si>
    <t>ejanoth</t>
  </si>
  <si>
    <t>swiedeha</t>
  </si>
  <si>
    <t>cubes 3x3 array 7,8,9mw</t>
  </si>
  <si>
    <t xml:space="preserve"> UV-Sheet_0005-4</t>
  </si>
  <si>
    <t>3-point-bending V01</t>
  </si>
  <si>
    <t>UV-Sheet_0008-1</t>
  </si>
  <si>
    <t>20260609094439480-53111</t>
  </si>
  <si>
    <t>Bus 50ym</t>
  </si>
  <si>
    <t>Rechteck 1mm</t>
  </si>
  <si>
    <t>Tilt alpha degree</t>
  </si>
  <si>
    <t>Tilt beta degree</t>
  </si>
  <si>
    <t>Code</t>
  </si>
  <si>
    <t>2PP-000001</t>
  </si>
  <si>
    <t>Bus 50ym-2</t>
  </si>
  <si>
    <t>Bus 50ym-3</t>
  </si>
  <si>
    <t xml:space="preserve">Pillar Test 8YSZ </t>
  </si>
  <si>
    <t>20260528 8YSZ 78wt%</t>
  </si>
  <si>
    <t>20260528144122603-52269</t>
  </si>
  <si>
    <t>Bus 50ym-4</t>
  </si>
  <si>
    <t>Hybrid 0.1 Bohrung h0.75</t>
  </si>
  <si>
    <t>20260126175936336-39132</t>
  </si>
  <si>
    <t>20260126 UV Sheet 2</t>
  </si>
  <si>
    <t>20260609153436383-53136</t>
  </si>
  <si>
    <t>20260609155354152-53144</t>
  </si>
  <si>
    <t>2PP-000002</t>
  </si>
  <si>
    <t>2PP-000003</t>
  </si>
  <si>
    <t>2PP-000004</t>
  </si>
  <si>
    <t>2PP-000005</t>
  </si>
  <si>
    <t>2PP-000006</t>
  </si>
  <si>
    <t>2PP-000007</t>
  </si>
  <si>
    <t>2PP-000008</t>
  </si>
  <si>
    <t>2PP-000009</t>
  </si>
  <si>
    <t>2PP-000010</t>
  </si>
  <si>
    <t>2PP-000011</t>
  </si>
  <si>
    <t>2PP-000012</t>
  </si>
  <si>
    <t>2PP-000013</t>
  </si>
  <si>
    <t>2PP-000014</t>
  </si>
  <si>
    <t>2PP-000015</t>
  </si>
  <si>
    <t>2PP-000016</t>
  </si>
  <si>
    <t>2PP-000017</t>
  </si>
  <si>
    <t>2PP-000018</t>
  </si>
  <si>
    <t>2PP-000019</t>
  </si>
  <si>
    <t>2PP-000020</t>
  </si>
  <si>
    <t>2PP-000021</t>
  </si>
  <si>
    <t>2PP-000022</t>
  </si>
  <si>
    <t>2PP-000023</t>
  </si>
  <si>
    <t>2PP-000024</t>
  </si>
  <si>
    <t>2PP-000025</t>
  </si>
  <si>
    <t>2PP-000026</t>
  </si>
  <si>
    <t>2PP-000027</t>
  </si>
  <si>
    <t>2PP-000028</t>
  </si>
  <si>
    <t>2PP-000029</t>
  </si>
  <si>
    <t>2PP-000030</t>
  </si>
  <si>
    <t>2PP-000031</t>
  </si>
  <si>
    <t>2PP-000032</t>
  </si>
  <si>
    <t>2PP-000033</t>
  </si>
  <si>
    <t>2PP-000034</t>
  </si>
  <si>
    <t>2PP-000035</t>
  </si>
  <si>
    <t>2PP-000036</t>
  </si>
  <si>
    <t>2PP-000037</t>
  </si>
  <si>
    <t>2PP-000038</t>
  </si>
  <si>
    <t>2PP-000039</t>
  </si>
  <si>
    <t>2PP-000040</t>
  </si>
  <si>
    <t>2PP-000041</t>
  </si>
  <si>
    <t>2PP-000042</t>
  </si>
  <si>
    <t>2PP-000043</t>
  </si>
  <si>
    <t>2PP-000044</t>
  </si>
  <si>
    <t>2PP-000045</t>
  </si>
  <si>
    <t>2PP-000046</t>
  </si>
  <si>
    <t>2PP-000047</t>
  </si>
  <si>
    <t>2PP-000048</t>
  </si>
  <si>
    <t>2PP-000049</t>
  </si>
  <si>
    <t>2PP-000050</t>
  </si>
  <si>
    <t>2PP-000051</t>
  </si>
  <si>
    <t>2PP-000052</t>
  </si>
  <si>
    <t>2PP-000053</t>
  </si>
  <si>
    <t>2PP-000054</t>
  </si>
  <si>
    <t>2PP-000055</t>
  </si>
  <si>
    <t>2PP-000056</t>
  </si>
  <si>
    <t>2PP-000057</t>
  </si>
  <si>
    <t>2PP-000058</t>
  </si>
  <si>
    <t>2PP-000059</t>
  </si>
  <si>
    <t>2PP-000060</t>
  </si>
  <si>
    <t>2PP-000061</t>
  </si>
  <si>
    <t>2PP-000062</t>
  </si>
  <si>
    <t>2PP-000063</t>
  </si>
  <si>
    <t>2PP-000064</t>
  </si>
  <si>
    <t>2PP-000065</t>
  </si>
  <si>
    <t>2PP-000066</t>
  </si>
  <si>
    <t>2PP-000067</t>
  </si>
  <si>
    <t>2PP-000068</t>
  </si>
  <si>
    <t>2PP-000069</t>
  </si>
  <si>
    <t>2PP-000070</t>
  </si>
  <si>
    <t>2PP-000071</t>
  </si>
  <si>
    <t>2PP-000072</t>
  </si>
  <si>
    <t>2PP-000073</t>
  </si>
  <si>
    <t>2PP-000074</t>
  </si>
  <si>
    <t>2PP-000075</t>
  </si>
  <si>
    <t>2PP-000076</t>
  </si>
  <si>
    <t>2PP-000077</t>
  </si>
  <si>
    <t>2PP-000078</t>
  </si>
  <si>
    <t>2PP-000079</t>
  </si>
  <si>
    <t>2PP-000080</t>
  </si>
  <si>
    <t>2PP-000081</t>
  </si>
  <si>
    <t>2PP-000082</t>
  </si>
  <si>
    <t>UV-Sheet_0007-1</t>
  </si>
  <si>
    <t>20260609094438586-53109</t>
  </si>
  <si>
    <t>UV-Sheet_0005-1</t>
  </si>
  <si>
    <t>20260430131257526-50864</t>
  </si>
  <si>
    <t>UV-Sheet_0005-3</t>
  </si>
  <si>
    <t>20260430131303703-50866</t>
  </si>
  <si>
    <t>UV-Sheet_0005-5</t>
  </si>
  <si>
    <t>20260430131310069-50868</t>
  </si>
  <si>
    <t>Okawa grid</t>
  </si>
  <si>
    <t>BCC Lattice Tests</t>
  </si>
  <si>
    <t>20260203 UV-Sheet 10</t>
  </si>
  <si>
    <t>20260203153714534-40209</t>
  </si>
  <si>
    <t>Zylinder_5x5x10ym</t>
  </si>
  <si>
    <t>Zylinder_15x15x30ym</t>
  </si>
  <si>
    <t>UV-Sheet-0008-2</t>
  </si>
  <si>
    <t>Hybrid mit durchgehender Bohrung</t>
  </si>
  <si>
    <t>20260609160921677-53158</t>
  </si>
  <si>
    <t>1 Tape</t>
  </si>
  <si>
    <t>Ethanol</t>
  </si>
  <si>
    <t>Seerose 100 ym</t>
  </si>
  <si>
    <t>Seerose 200 ym</t>
  </si>
  <si>
    <t>Seerose 300 ym</t>
  </si>
  <si>
    <t>Seerose 400 ym</t>
  </si>
  <si>
    <t>speed modulation tests</t>
  </si>
  <si>
    <t>UV-Sheet-0008-3</t>
  </si>
  <si>
    <t>power modulation tests</t>
  </si>
  <si>
    <t>pause modulation tests</t>
  </si>
  <si>
    <t>20260203 UV-Sheet 05</t>
  </si>
  <si>
    <t>20260203153334077-40204</t>
  </si>
  <si>
    <t>20260609094441331-53114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</si>
</sst>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BAM Klavika Light"/>
      <family val="2"/>
    </font>
    <font>
      <sz val="11"/>
      <color theme="1"/>
      <name val="BAM Klavika Light"/>
      <family val="2"/>
    </font>
    <font>
      <b/>
      <sz val="11"/>
      <color rgb="FFFF0000"/>
      <name val="BAM Klavika Light"/>
      <family val="2"/>
    </font>
    <font>
      <sz val="11"/>
      <color rgb="FFFF0000"/>
      <name val="BAM Klavika Light"/>
      <family val="2"/>
    </font>
    <font>
      <u/>
      <sz val="11"/>
      <color theme="1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theme="8"/>
      <name val="BAM Klavika Light"/>
      <family val="2"/>
    </font>
    <font>
      <sz val="11"/>
      <color theme="8"/>
      <name val="BAM Klavika Light"/>
      <family val="2"/>
    </font>
    <font>
      <b/>
      <sz val="11"/>
      <color theme="6"/>
      <name val="BAM Klavika Light"/>
      <family val="2"/>
    </font>
    <font>
      <sz val="11"/>
      <color theme="6"/>
      <name val="BAM Klavika Ligh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6" xfId="0" applyFont="1" applyBorder="1"/>
    <xf numFmtId="0" fontId="2" fillId="0" borderId="0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1" fillId="0" borderId="8" xfId="0" applyFont="1" applyBorder="1"/>
    <xf numFmtId="0" fontId="1" fillId="0" borderId="9" xfId="0" applyFont="1" applyBorder="1"/>
    <xf numFmtId="14" fontId="2" fillId="0" borderId="1" xfId="0" applyNumberFormat="1" applyFont="1" applyBorder="1"/>
    <xf numFmtId="49" fontId="2" fillId="0" borderId="0" xfId="0" applyNumberFormat="1" applyFont="1"/>
    <xf numFmtId="0" fontId="6" fillId="0" borderId="0" xfId="0" applyFont="1"/>
    <xf numFmtId="49" fontId="5" fillId="0" borderId="0" xfId="1" applyNumberFormat="1"/>
    <xf numFmtId="0" fontId="7" fillId="0" borderId="6" xfId="0" applyFont="1" applyBorder="1"/>
    <xf numFmtId="0" fontId="8" fillId="0" borderId="0" xfId="0" applyFont="1" applyBorder="1"/>
    <xf numFmtId="0" fontId="8" fillId="0" borderId="1" xfId="0" applyFont="1" applyBorder="1"/>
    <xf numFmtId="0" fontId="9" fillId="0" borderId="8" xfId="0" applyFont="1" applyBorder="1"/>
    <xf numFmtId="0" fontId="9" fillId="0" borderId="6" xfId="0" applyFont="1" applyBorder="1"/>
    <xf numFmtId="0" fontId="10" fillId="0" borderId="0" xfId="0" applyFont="1"/>
    <xf numFmtId="0" fontId="2" fillId="0" borderId="0" xfId="0" applyFont="1" applyFill="1"/>
    <xf numFmtId="0" fontId="2" fillId="0" borderId="0" xfId="0" applyFont="1" applyFill="1" applyBorder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2PP/Experimente%20chronologisch/20260309_Schwarz%20Diamond%203d-slicing.txt" TargetMode="External"/><Relationship Id="rId13" Type="http://schemas.openxmlformats.org/officeDocument/2006/relationships/hyperlink" Target="../../2PP/Experimente%20chronologisch/20260305_Array%20multidirectional%20slicing%20SchwarzP.txt" TargetMode="External"/><Relationship Id="rId18" Type="http://schemas.openxmlformats.org/officeDocument/2006/relationships/hyperlink" Target="../../2PP/Experimente%20chronologisch/20260415_SP2x2x2_infill-line-distance_Array.txt" TargetMode="External"/><Relationship Id="rId26" Type="http://schemas.openxmlformats.org/officeDocument/2006/relationships/hyperlink" Target="../../2PP/Experimente%20chronologisch/20260504_cubes-dense_8mW_3x3.txt" TargetMode="External"/><Relationship Id="rId3" Type="http://schemas.openxmlformats.org/officeDocument/2006/relationships/hyperlink" Target="../../2PP/Experimente%20chronologisch/20260317_Pillars.txt" TargetMode="External"/><Relationship Id="rId21" Type="http://schemas.openxmlformats.org/officeDocument/2006/relationships/hyperlink" Target="../../2PP/Experimente%20chronologisch/20260421_Cubes.txt" TargetMode="External"/><Relationship Id="rId7" Type="http://schemas.openxmlformats.org/officeDocument/2006/relationships/hyperlink" Target="../../2PP/Experimente%20chronologisch/20260316%20Pillar%20Zylinder%20Array%206mW.txt" TargetMode="External"/><Relationship Id="rId12" Type="http://schemas.openxmlformats.org/officeDocument/2006/relationships/hyperlink" Target="../../2PP/Experimente%20chronologisch/20260310_SchwarzP%201-5%20unit%20cells%20array.txt" TargetMode="External"/><Relationship Id="rId17" Type="http://schemas.openxmlformats.org/officeDocument/2006/relationships/hyperlink" Target="../../2PP/Experimente%20chronologisch/20260313_SP2x2x2_infill-line-distance_Array.txt" TargetMode="External"/><Relationship Id="rId25" Type="http://schemas.openxmlformats.org/officeDocument/2006/relationships/hyperlink" Target="../../2PP/Experimente%20chronologisch/20260505_cubes-schwarzP-array-nanoindent_8mW.txt" TargetMode="External"/><Relationship Id="rId2" Type="http://schemas.openxmlformats.org/officeDocument/2006/relationships/hyperlink" Target="../../2PP/Experimente%20chronologisch/20260313_SP2x2x2_infill-line-distance_Array.txt" TargetMode="External"/><Relationship Id="rId16" Type="http://schemas.openxmlformats.org/officeDocument/2006/relationships/hyperlink" Target="../../2PP/Experimente%20chronologisch/20260414_SchwarzP-hollow_2x2x2_power-speed-array.txt" TargetMode="External"/><Relationship Id="rId20" Type="http://schemas.openxmlformats.org/officeDocument/2006/relationships/hyperlink" Target="../../2PP/Experimente%20chronologisch/20260422_SchwarzP-hollow_2x2x2_power-speed-array.txt" TargetMode="External"/><Relationship Id="rId29" Type="http://schemas.openxmlformats.org/officeDocument/2006/relationships/hyperlink" Target="../../2PP/Experimente%20chronologisch/20260429_SchwarzP-hollow_2x2x2_8mW_speed-array.txt" TargetMode="External"/><Relationship Id="rId1" Type="http://schemas.openxmlformats.org/officeDocument/2006/relationships/hyperlink" Target="../../2PP/Experimente%20chronologisch/20260319%20Pillar%20Zylinder%20Array%206mW.txt" TargetMode="External"/><Relationship Id="rId6" Type="http://schemas.openxmlformats.org/officeDocument/2006/relationships/hyperlink" Target="../../2PP/Experimente%20chronologisch/20260317_Origin_Coordinate_System.txt" TargetMode="External"/><Relationship Id="rId11" Type="http://schemas.openxmlformats.org/officeDocument/2006/relationships/hyperlink" Target="../../2PP/Experimente%20chronologisch/20260309_point%20matrix%202D%20power%20x%20duration.txt" TargetMode="External"/><Relationship Id="rId24" Type="http://schemas.openxmlformats.org/officeDocument/2006/relationships/hyperlink" Target="../../2PP/Experimente%20chronologisch/20260505_cubes-schwarzP-array-nanoindent_5mW.txt" TargetMode="External"/><Relationship Id="rId5" Type="http://schemas.openxmlformats.org/officeDocument/2006/relationships/hyperlink" Target="../../2PP/Experimente%20chronologisch/20260317_Data_Matrix_Code_Test.txt" TargetMode="External"/><Relationship Id="rId15" Type="http://schemas.openxmlformats.org/officeDocument/2006/relationships/hyperlink" Target="../../2PP/Experimente%20chronologisch/20260303_Array%20mit%20Text%20Logo%20und%20QR%20Code-fix2.txt" TargetMode="External"/><Relationship Id="rId23" Type="http://schemas.openxmlformats.org/officeDocument/2006/relationships/hyperlink" Target="../../2PP/Experimente%20chronologisch/20260416_Data_Matrix_Code_Test2.txt" TargetMode="External"/><Relationship Id="rId28" Type="http://schemas.openxmlformats.org/officeDocument/2006/relationships/hyperlink" Target="../../2PP/Experimente%20chronologisch/20260429_SchwarzP-hollow_2x2x2_5mW_speed-array.txt" TargetMode="External"/><Relationship Id="rId10" Type="http://schemas.openxmlformats.org/officeDocument/2006/relationships/hyperlink" Target="../../2PP/Experimente%20chronologisch/20260309_point%20matrix%202D%20power%20x%20duration.txt" TargetMode="External"/><Relationship Id="rId19" Type="http://schemas.openxmlformats.org/officeDocument/2006/relationships/hyperlink" Target="../../2PP/Experimente%20chronologisch/20260415_SP2x2x2_infill-line-distance_Array%202.txt" TargetMode="External"/><Relationship Id="rId4" Type="http://schemas.openxmlformats.org/officeDocument/2006/relationships/hyperlink" Target="../../2PP/Experimente%20chronologisch/20260317_New_UV-Sheet_Template.txt" TargetMode="External"/><Relationship Id="rId9" Type="http://schemas.openxmlformats.org/officeDocument/2006/relationships/hyperlink" Target="../../2PP/Experimente%20chronologisch/20260305_Gradually%20Grating.txt" TargetMode="External"/><Relationship Id="rId14" Type="http://schemas.openxmlformats.org/officeDocument/2006/relationships/hyperlink" Target="../../2PP/Experimente%20chronologisch/20260303_array%20line%20distance%203Dpoli%20vs%20Cura.txt" TargetMode="External"/><Relationship Id="rId22" Type="http://schemas.openxmlformats.org/officeDocument/2006/relationships/hyperlink" Target="../../2PP/Experimente%20chronologisch/20260416_SchwarzP-hollow_2x2x2_zoffset-layerheight-array.txt" TargetMode="External"/><Relationship Id="rId27" Type="http://schemas.openxmlformats.org/officeDocument/2006/relationships/hyperlink" Target="../../2PP/Experimente%20chronologisch/20260504_cubes-dense_5mW_3x3.txt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4D75-A62C-4AF1-815B-0E82D1E135FA}">
  <dimension ref="A1:AU361"/>
  <sheetViews>
    <sheetView tabSelected="1" zoomScale="93" zoomScaleNormal="90" workbookViewId="0">
      <pane xSplit="5" ySplit="2" topLeftCell="F53" activePane="bottomRight" state="frozen"/>
      <selection pane="topRight" activeCell="E1" sqref="E1"/>
      <selection pane="bottomLeft" activeCell="A3" sqref="A3"/>
      <selection pane="bottomRight" activeCell="A65" sqref="A65"/>
    </sheetView>
  </sheetViews>
  <sheetFormatPr baseColWidth="10" defaultColWidth="11.19921875" defaultRowHeight="14.4"/>
  <cols>
    <col min="1" max="1" width="48.69921875" style="3" customWidth="1"/>
    <col min="2" max="2" width="17.5" style="3" customWidth="1"/>
    <col min="3" max="4" width="11.19921875" style="3"/>
    <col min="5" max="5" width="28.19921875" style="3" customWidth="1"/>
    <col min="6" max="6" width="25.19921875" style="19" customWidth="1"/>
    <col min="7" max="7" width="19.69921875" style="5" customWidth="1"/>
    <col min="8" max="8" width="19.69921875" style="8" customWidth="1"/>
    <col min="9" max="9" width="20.19921875" style="8" customWidth="1"/>
    <col min="10" max="10" width="16.5" style="8" customWidth="1"/>
    <col min="11" max="11" width="11.19921875" style="8"/>
    <col min="12" max="13" width="11.19921875" style="6"/>
    <col min="14" max="15" width="11.19921875" style="27"/>
    <col min="16" max="16" width="17.69921875" style="27" customWidth="1"/>
    <col min="17" max="18" width="11.19921875" style="27"/>
    <col min="19" max="19" width="17.69921875" style="27" customWidth="1"/>
    <col min="20" max="21" width="11.19921875" style="27"/>
    <col min="22" max="22" width="17.69921875" style="27" customWidth="1"/>
    <col min="23" max="23" width="11.19921875" style="24"/>
    <col min="24" max="24" width="11.19921875" style="23"/>
    <col min="25" max="25" width="24.59765625" style="15" customWidth="1"/>
    <col min="26" max="28" width="11.19921875" style="13"/>
    <col min="29" max="29" width="16.69921875" style="13" customWidth="1"/>
    <col min="30" max="30" width="16" style="5" customWidth="1"/>
    <col min="31" max="31" width="16" style="8" customWidth="1"/>
    <col min="32" max="32" width="16" style="3" customWidth="1"/>
    <col min="33" max="33" width="11.19921875" style="5"/>
    <col min="34" max="34" width="11.19921875" style="8"/>
    <col min="35" max="35" width="13.5" style="3" customWidth="1"/>
    <col min="36" max="36" width="16.19921875" style="5" customWidth="1"/>
    <col min="37" max="37" width="12.59765625" style="3" customWidth="1"/>
    <col min="38" max="38" width="14.296875" style="3" customWidth="1"/>
    <col min="39" max="39" width="12.59765625" style="3" customWidth="1"/>
    <col min="40" max="41" width="12.59765625" style="5" customWidth="1"/>
    <col min="42" max="43" width="12.69921875" style="8" customWidth="1"/>
    <col min="44" max="44" width="11.796875" style="3" customWidth="1"/>
    <col min="45" max="45" width="11.19921875" style="5"/>
    <col min="46" max="46" width="11.19921875" style="3"/>
    <col min="47" max="47" width="44.09765625" style="5" customWidth="1"/>
    <col min="48" max="16384" width="11.19921875" style="3"/>
  </cols>
  <sheetData>
    <row r="1" spans="1:47" s="1" customFormat="1">
      <c r="A1" s="31" t="s">
        <v>29</v>
      </c>
      <c r="B1" s="31"/>
      <c r="C1" s="31"/>
      <c r="D1" s="31"/>
      <c r="E1" s="31"/>
      <c r="F1" s="32"/>
      <c r="G1" s="30" t="s">
        <v>28</v>
      </c>
      <c r="H1" s="30"/>
      <c r="I1" s="30"/>
      <c r="J1" s="30"/>
      <c r="K1" s="30"/>
      <c r="L1" s="30"/>
      <c r="M1" s="10" t="s">
        <v>51</v>
      </c>
      <c r="N1" s="34" t="s">
        <v>27</v>
      </c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  <c r="AD1" s="33" t="s">
        <v>26</v>
      </c>
      <c r="AE1" s="31"/>
      <c r="AF1" s="31"/>
      <c r="AG1" s="33" t="s">
        <v>25</v>
      </c>
      <c r="AH1" s="31"/>
      <c r="AI1" s="31"/>
      <c r="AJ1" s="33" t="s">
        <v>24</v>
      </c>
      <c r="AK1" s="31"/>
      <c r="AL1" s="31"/>
      <c r="AM1" s="31"/>
      <c r="AN1" s="11"/>
      <c r="AO1" s="31" t="s">
        <v>22</v>
      </c>
      <c r="AP1" s="31"/>
      <c r="AQ1" s="31"/>
      <c r="AR1" s="32"/>
      <c r="AS1" s="30" t="s">
        <v>53</v>
      </c>
      <c r="AT1" s="30"/>
      <c r="AU1" s="4"/>
    </row>
    <row r="2" spans="1:47" s="1" customFormat="1">
      <c r="A2" s="7" t="s">
        <v>16</v>
      </c>
      <c r="B2" s="7" t="s">
        <v>164</v>
      </c>
      <c r="C2" s="7" t="s">
        <v>3</v>
      </c>
      <c r="D2" s="7" t="s">
        <v>2</v>
      </c>
      <c r="E2" s="9" t="s">
        <v>62</v>
      </c>
      <c r="F2" s="9" t="s">
        <v>37</v>
      </c>
      <c r="G2" s="7" t="s">
        <v>7</v>
      </c>
      <c r="H2" s="7" t="s">
        <v>38</v>
      </c>
      <c r="I2" s="9" t="s">
        <v>4</v>
      </c>
      <c r="J2" s="7" t="s">
        <v>41</v>
      </c>
      <c r="K2" s="16" t="s">
        <v>67</v>
      </c>
      <c r="L2" s="7"/>
      <c r="M2" s="16" t="s">
        <v>52</v>
      </c>
      <c r="N2" s="25" t="s">
        <v>43</v>
      </c>
      <c r="O2" s="26" t="s">
        <v>11</v>
      </c>
      <c r="P2" s="26" t="s">
        <v>17</v>
      </c>
      <c r="Q2" s="26" t="s">
        <v>45</v>
      </c>
      <c r="R2" s="26" t="s">
        <v>46</v>
      </c>
      <c r="S2" s="26" t="s">
        <v>47</v>
      </c>
      <c r="T2" s="26" t="s">
        <v>44</v>
      </c>
      <c r="U2" s="26" t="s">
        <v>42</v>
      </c>
      <c r="V2" s="26" t="s">
        <v>87</v>
      </c>
      <c r="W2" s="22" t="s">
        <v>0</v>
      </c>
      <c r="X2" s="22" t="s">
        <v>30</v>
      </c>
      <c r="Y2" s="12" t="s">
        <v>32</v>
      </c>
      <c r="Z2" s="12" t="s">
        <v>5</v>
      </c>
      <c r="AA2" s="12" t="s">
        <v>162</v>
      </c>
      <c r="AB2" s="12" t="s">
        <v>163</v>
      </c>
      <c r="AC2" s="12" t="s">
        <v>13</v>
      </c>
      <c r="AD2" s="7" t="s">
        <v>8</v>
      </c>
      <c r="AE2" s="7" t="s">
        <v>63</v>
      </c>
      <c r="AF2" s="7" t="s">
        <v>12</v>
      </c>
      <c r="AG2" s="7" t="s">
        <v>9</v>
      </c>
      <c r="AH2" s="7" t="s">
        <v>63</v>
      </c>
      <c r="AI2" s="7" t="s">
        <v>33</v>
      </c>
      <c r="AJ2" s="7" t="s">
        <v>20</v>
      </c>
      <c r="AK2" s="7" t="s">
        <v>21</v>
      </c>
      <c r="AL2" s="7" t="s">
        <v>48</v>
      </c>
      <c r="AM2" s="9" t="s">
        <v>49</v>
      </c>
      <c r="AN2" s="9" t="s">
        <v>63</v>
      </c>
      <c r="AO2" s="9" t="s">
        <v>61</v>
      </c>
      <c r="AP2" s="7" t="s">
        <v>23</v>
      </c>
      <c r="AQ2" s="17" t="s">
        <v>60</v>
      </c>
      <c r="AR2" s="9" t="s">
        <v>50</v>
      </c>
      <c r="AS2" s="9" t="s">
        <v>54</v>
      </c>
      <c r="AT2" s="9" t="s">
        <v>55</v>
      </c>
      <c r="AU2" s="9" t="s">
        <v>31</v>
      </c>
    </row>
    <row r="3" spans="1:47">
      <c r="A3" s="2" t="str">
        <f>TEXT(C3,"jjjj")&amp;TEXT(C3,"MM")&amp;TEXT(C3,"tt")&amp;"_"&amp;"2PP_"&amp;E3</f>
        <v>20260303_2PP_Text und BAM Logo</v>
      </c>
      <c r="B3" s="2" t="s">
        <v>165</v>
      </c>
      <c r="C3" s="2">
        <v>46084</v>
      </c>
      <c r="D3" s="3" t="s">
        <v>35</v>
      </c>
      <c r="E3" s="3" t="s">
        <v>96</v>
      </c>
      <c r="F3" s="19" t="s">
        <v>112</v>
      </c>
      <c r="G3" s="5" t="s">
        <v>40</v>
      </c>
      <c r="H3" s="8" t="str">
        <f>IFERROR(VLOOKUP(G3,Stammdaten!$I$2:$J$4,2,FALSE),"")</f>
        <v>20260205131700798-40543</v>
      </c>
      <c r="I3" s="8" t="s">
        <v>98</v>
      </c>
      <c r="J3" s="8" t="s">
        <v>99</v>
      </c>
      <c r="K3" s="8" t="s">
        <v>68</v>
      </c>
      <c r="W3" s="24" t="s">
        <v>1</v>
      </c>
      <c r="X3" s="23">
        <v>9000</v>
      </c>
      <c r="AD3" s="18">
        <v>46091</v>
      </c>
      <c r="AE3" s="8" t="s">
        <v>35</v>
      </c>
      <c r="AF3" s="3" t="s">
        <v>19</v>
      </c>
      <c r="AG3" s="18">
        <v>46101</v>
      </c>
      <c r="AH3" s="8" t="s">
        <v>35</v>
      </c>
      <c r="AI3" s="3">
        <v>1</v>
      </c>
      <c r="AK3" s="2">
        <v>46126</v>
      </c>
      <c r="AL3" s="2">
        <v>46101</v>
      </c>
      <c r="AM3" s="2">
        <v>46121</v>
      </c>
      <c r="AN3" s="8" t="s">
        <v>35</v>
      </c>
      <c r="AO3" s="2">
        <v>46101</v>
      </c>
      <c r="AP3" s="8" t="s">
        <v>59</v>
      </c>
      <c r="AQ3" s="8" t="str">
        <f>IFERROR(VLOOKUP(AP3,Stammdaten!$U$2:$V$3,2,FALSE),"")</f>
        <v>20251027120457399-19808</v>
      </c>
      <c r="AR3" s="3" t="s">
        <v>121</v>
      </c>
    </row>
    <row r="4" spans="1:47">
      <c r="A4" s="2" t="str">
        <f t="shared" ref="A4:A67" si="0">TEXT(C4,"jjjj")&amp;TEXT(C4,"MM")&amp;TEXT(C4,"tt")&amp;"_"&amp;"2PP_"&amp;E4</f>
        <v>20260303_2PP_Line distance cubes Cura vs 3D-Poli</v>
      </c>
      <c r="B4" s="2" t="s">
        <v>177</v>
      </c>
      <c r="C4" s="2">
        <v>46084</v>
      </c>
      <c r="D4" s="3" t="s">
        <v>35</v>
      </c>
      <c r="E4" s="3" t="s">
        <v>97</v>
      </c>
      <c r="F4" s="19" t="s">
        <v>111</v>
      </c>
      <c r="G4" s="5" t="s">
        <v>40</v>
      </c>
      <c r="H4" s="8" t="str">
        <f>IFERROR(VLOOKUP(G4,Stammdaten!$I$2:$J$4,2,FALSE),"")</f>
        <v>20260205131700798-40543</v>
      </c>
      <c r="I4" s="8" t="s">
        <v>98</v>
      </c>
      <c r="J4" s="8" t="s">
        <v>99</v>
      </c>
      <c r="K4" s="8" t="s">
        <v>68</v>
      </c>
      <c r="W4" s="24" t="s">
        <v>1</v>
      </c>
      <c r="X4" s="23">
        <v>9000</v>
      </c>
      <c r="AD4" s="18">
        <v>46091</v>
      </c>
      <c r="AE4" s="8" t="s">
        <v>35</v>
      </c>
      <c r="AF4" s="3" t="s">
        <v>19</v>
      </c>
      <c r="AG4" s="18">
        <v>46101</v>
      </c>
      <c r="AH4" s="8" t="s">
        <v>35</v>
      </c>
      <c r="AI4" s="3">
        <v>1</v>
      </c>
      <c r="AK4" s="2">
        <v>46126</v>
      </c>
      <c r="AL4" s="2">
        <v>46101</v>
      </c>
      <c r="AM4" s="2">
        <v>46121</v>
      </c>
      <c r="AN4" s="8" t="s">
        <v>35</v>
      </c>
      <c r="AO4" s="2">
        <v>46101</v>
      </c>
      <c r="AP4" s="8" t="s">
        <v>59</v>
      </c>
      <c r="AQ4" s="8" t="str">
        <f>IFERROR(VLOOKUP(AP4,Stammdaten!$U$2:$V$3,2,FALSE),"")</f>
        <v>20251027120457399-19808</v>
      </c>
      <c r="AR4" s="3" t="s">
        <v>121</v>
      </c>
    </row>
    <row r="5" spans="1:47">
      <c r="A5" s="2" t="str">
        <f t="shared" si="0"/>
        <v>20260305_2PP_Multidirectional Slicing SchwarzP</v>
      </c>
      <c r="B5" s="2" t="s">
        <v>178</v>
      </c>
      <c r="C5" s="2">
        <v>46086</v>
      </c>
      <c r="D5" s="3" t="s">
        <v>35</v>
      </c>
      <c r="E5" s="3" t="s">
        <v>94</v>
      </c>
      <c r="F5" s="19" t="s">
        <v>110</v>
      </c>
      <c r="G5" s="5" t="s">
        <v>40</v>
      </c>
      <c r="H5" s="8" t="str">
        <f>IFERROR(VLOOKUP(G5,Stammdaten!$I$2:$J$4,2,FALSE),"")</f>
        <v>20260205131700798-40543</v>
      </c>
      <c r="I5" s="8" t="s">
        <v>98</v>
      </c>
      <c r="J5" s="8" t="s">
        <v>99</v>
      </c>
      <c r="K5" s="8" t="s">
        <v>68</v>
      </c>
      <c r="W5" s="24" t="s">
        <v>1</v>
      </c>
      <c r="X5" s="23">
        <v>9000</v>
      </c>
      <c r="AD5" s="18">
        <v>46091</v>
      </c>
      <c r="AE5" s="8" t="s">
        <v>35</v>
      </c>
      <c r="AF5" s="3" t="s">
        <v>19</v>
      </c>
      <c r="AG5" s="18">
        <v>46101</v>
      </c>
      <c r="AH5" s="8" t="s">
        <v>35</v>
      </c>
      <c r="AI5" s="3">
        <v>1</v>
      </c>
      <c r="AK5" s="2">
        <v>46126</v>
      </c>
      <c r="AL5" s="2">
        <v>46101</v>
      </c>
      <c r="AM5" s="2">
        <v>46121</v>
      </c>
      <c r="AN5" s="8" t="s">
        <v>35</v>
      </c>
      <c r="AO5" s="2">
        <v>46101</v>
      </c>
      <c r="AP5" s="8" t="s">
        <v>59</v>
      </c>
      <c r="AQ5" s="8" t="str">
        <f>IFERROR(VLOOKUP(AP5,Stammdaten!$U$2:$V$3,2,FALSE),"")</f>
        <v>20251027120457399-19808</v>
      </c>
      <c r="AR5" s="3" t="s">
        <v>121</v>
      </c>
    </row>
    <row r="6" spans="1:47">
      <c r="A6" s="2" t="str">
        <f t="shared" si="0"/>
        <v>20260305_2PP_Gradual Gratings</v>
      </c>
      <c r="B6" s="2" t="s">
        <v>179</v>
      </c>
      <c r="C6" s="2">
        <v>46086</v>
      </c>
      <c r="D6" s="3" t="s">
        <v>35</v>
      </c>
      <c r="E6" s="3" t="s">
        <v>95</v>
      </c>
      <c r="F6" s="19" t="s">
        <v>107</v>
      </c>
      <c r="G6" s="5" t="s">
        <v>40</v>
      </c>
      <c r="H6" s="8" t="str">
        <f>IFERROR(VLOOKUP(G6,Stammdaten!$I$2:$J$4,2,FALSE),"")</f>
        <v>20260205131700798-40543</v>
      </c>
      <c r="I6" s="8" t="s">
        <v>98</v>
      </c>
      <c r="J6" s="8" t="s">
        <v>99</v>
      </c>
      <c r="K6" s="8" t="s">
        <v>68</v>
      </c>
      <c r="W6" s="24" t="s">
        <v>1</v>
      </c>
      <c r="X6" s="23">
        <v>9000</v>
      </c>
      <c r="AD6" s="18">
        <v>46091</v>
      </c>
      <c r="AE6" s="8" t="s">
        <v>35</v>
      </c>
      <c r="AF6" s="3" t="s">
        <v>19</v>
      </c>
      <c r="AG6" s="18">
        <v>46101</v>
      </c>
      <c r="AH6" s="8" t="s">
        <v>35</v>
      </c>
      <c r="AI6" s="3">
        <v>1</v>
      </c>
      <c r="AK6" s="2">
        <v>46126</v>
      </c>
      <c r="AL6" s="2">
        <v>46101</v>
      </c>
      <c r="AM6" s="2">
        <v>46121</v>
      </c>
      <c r="AN6" s="8" t="s">
        <v>35</v>
      </c>
      <c r="AO6" s="2">
        <v>46101</v>
      </c>
      <c r="AP6" s="8" t="s">
        <v>59</v>
      </c>
      <c r="AQ6" s="8" t="str">
        <f>IFERROR(VLOOKUP(AP6,Stammdaten!$U$2:$V$3,2,FALSE),"")</f>
        <v>20251027120457399-19808</v>
      </c>
      <c r="AR6" s="3" t="s">
        <v>121</v>
      </c>
    </row>
    <row r="7" spans="1:47">
      <c r="A7" s="2" t="str">
        <f t="shared" si="0"/>
        <v>20260309_2PP_2D dot matrix power x duration</v>
      </c>
      <c r="B7" s="2" t="s">
        <v>180</v>
      </c>
      <c r="C7" s="2">
        <v>46090</v>
      </c>
      <c r="D7" s="3" t="s">
        <v>35</v>
      </c>
      <c r="E7" s="3" t="s">
        <v>100</v>
      </c>
      <c r="F7" s="19" t="s">
        <v>108</v>
      </c>
      <c r="G7" s="5" t="s">
        <v>40</v>
      </c>
      <c r="H7" s="8" t="str">
        <f>IFERROR(VLOOKUP(G7,Stammdaten!$I$2:$J$4,2,FALSE),"")</f>
        <v>20260205131700798-40543</v>
      </c>
      <c r="I7" s="8" t="s">
        <v>103</v>
      </c>
      <c r="J7" s="8" t="s">
        <v>104</v>
      </c>
      <c r="K7" s="8" t="s">
        <v>68</v>
      </c>
      <c r="W7" s="24" t="s">
        <v>1</v>
      </c>
      <c r="X7" s="23">
        <v>9000</v>
      </c>
      <c r="AD7" s="18">
        <v>46094</v>
      </c>
      <c r="AE7" s="8" t="s">
        <v>34</v>
      </c>
      <c r="AF7" s="3" t="s">
        <v>19</v>
      </c>
      <c r="AG7" s="18">
        <v>46101</v>
      </c>
      <c r="AH7" s="8" t="s">
        <v>35</v>
      </c>
      <c r="AI7" s="3">
        <v>1</v>
      </c>
      <c r="AK7" s="2">
        <v>46126</v>
      </c>
      <c r="AL7" s="2">
        <v>46101</v>
      </c>
      <c r="AM7" s="2">
        <v>46121</v>
      </c>
      <c r="AN7" s="8" t="s">
        <v>35</v>
      </c>
      <c r="AO7" s="2">
        <v>46101</v>
      </c>
      <c r="AP7" s="8" t="s">
        <v>59</v>
      </c>
      <c r="AQ7" s="8" t="str">
        <f>IFERROR(VLOOKUP(AP7,Stammdaten!$U$2:$V$3,2,FALSE),"")</f>
        <v>20251027120457399-19808</v>
      </c>
      <c r="AR7" s="3" t="s">
        <v>121</v>
      </c>
    </row>
    <row r="8" spans="1:47">
      <c r="A8" s="2" t="str">
        <f t="shared" si="0"/>
        <v>20260309_2PP_2D dot matrix power x duration_2</v>
      </c>
      <c r="B8" s="2" t="s">
        <v>181</v>
      </c>
      <c r="C8" s="2">
        <v>46090</v>
      </c>
      <c r="D8" s="3" t="s">
        <v>35</v>
      </c>
      <c r="E8" s="3" t="s">
        <v>105</v>
      </c>
      <c r="F8" s="19" t="s">
        <v>108</v>
      </c>
      <c r="G8" s="5" t="s">
        <v>40</v>
      </c>
      <c r="H8" s="8" t="str">
        <f>IFERROR(VLOOKUP(G8,Stammdaten!$I$2:$J$4,2,FALSE),"")</f>
        <v>20260205131700798-40543</v>
      </c>
      <c r="I8" s="8" t="s">
        <v>103</v>
      </c>
      <c r="J8" s="8" t="s">
        <v>104</v>
      </c>
      <c r="K8" s="8" t="s">
        <v>68</v>
      </c>
      <c r="W8" s="24" t="s">
        <v>1</v>
      </c>
      <c r="X8" s="23">
        <v>9000</v>
      </c>
      <c r="AD8" s="18">
        <v>46094</v>
      </c>
      <c r="AE8" s="8" t="s">
        <v>34</v>
      </c>
      <c r="AF8" s="3" t="s">
        <v>19</v>
      </c>
      <c r="AG8" s="18">
        <v>46101</v>
      </c>
      <c r="AH8" s="8" t="s">
        <v>35</v>
      </c>
      <c r="AI8" s="3">
        <v>1</v>
      </c>
      <c r="AK8" s="2">
        <v>46126</v>
      </c>
      <c r="AL8" s="2">
        <v>46101</v>
      </c>
      <c r="AM8" s="2">
        <v>46121</v>
      </c>
      <c r="AN8" s="8" t="s">
        <v>35</v>
      </c>
      <c r="AO8" s="2">
        <v>46101</v>
      </c>
      <c r="AP8" s="8" t="s">
        <v>59</v>
      </c>
      <c r="AQ8" s="8" t="str">
        <f>IFERROR(VLOOKUP(AP8,Stammdaten!$U$2:$V$3,2,FALSE),"")</f>
        <v>20251027120457399-19808</v>
      </c>
      <c r="AR8" s="3" t="s">
        <v>121</v>
      </c>
    </row>
    <row r="9" spans="1:47">
      <c r="A9" s="2" t="str">
        <f t="shared" si="0"/>
        <v>20260310_2PP_Multidirectional Slicing SchwarzD</v>
      </c>
      <c r="B9" s="2" t="s">
        <v>182</v>
      </c>
      <c r="C9" s="2">
        <v>46091</v>
      </c>
      <c r="D9" s="3" t="s">
        <v>35</v>
      </c>
      <c r="E9" s="3" t="s">
        <v>101</v>
      </c>
      <c r="F9" s="19" t="s">
        <v>106</v>
      </c>
      <c r="G9" s="5" t="s">
        <v>40</v>
      </c>
      <c r="H9" s="8" t="str">
        <f>IFERROR(VLOOKUP(G9,Stammdaten!$I$2:$J$4,2,FALSE),"")</f>
        <v>20260205131700798-40543</v>
      </c>
      <c r="I9" s="8" t="s">
        <v>103</v>
      </c>
      <c r="J9" s="8" t="s">
        <v>104</v>
      </c>
      <c r="K9" s="8" t="s">
        <v>68</v>
      </c>
      <c r="W9" s="24" t="s">
        <v>1</v>
      </c>
      <c r="X9" s="23">
        <v>9000</v>
      </c>
      <c r="AD9" s="18">
        <v>46094</v>
      </c>
      <c r="AE9" s="8" t="s">
        <v>34</v>
      </c>
      <c r="AF9" s="3" t="s">
        <v>19</v>
      </c>
      <c r="AG9" s="18">
        <v>46101</v>
      </c>
      <c r="AH9" s="8" t="s">
        <v>35</v>
      </c>
      <c r="AI9" s="3">
        <v>1</v>
      </c>
      <c r="AK9" s="2">
        <v>46126</v>
      </c>
      <c r="AL9" s="2">
        <v>46101</v>
      </c>
      <c r="AM9" s="2">
        <v>46121</v>
      </c>
      <c r="AN9" s="8" t="s">
        <v>35</v>
      </c>
      <c r="AO9" s="2">
        <v>46101</v>
      </c>
      <c r="AP9" s="8" t="s">
        <v>59</v>
      </c>
      <c r="AQ9" s="8" t="str">
        <f>IFERROR(VLOOKUP(AP9,Stammdaten!$U$2:$V$3,2,FALSE),"")</f>
        <v>20251027120457399-19808</v>
      </c>
      <c r="AR9" s="3" t="s">
        <v>121</v>
      </c>
    </row>
    <row r="10" spans="1:47">
      <c r="A10" s="2" t="str">
        <f t="shared" si="0"/>
        <v>20260310_2PP_SchwarzP array 1-5 unit cells</v>
      </c>
      <c r="B10" s="2" t="s">
        <v>183</v>
      </c>
      <c r="C10" s="2">
        <v>46091</v>
      </c>
      <c r="D10" s="3" t="s">
        <v>35</v>
      </c>
      <c r="E10" s="3" t="s">
        <v>102</v>
      </c>
      <c r="F10" s="19" t="s">
        <v>109</v>
      </c>
      <c r="G10" s="5" t="s">
        <v>40</v>
      </c>
      <c r="H10" s="8" t="str">
        <f>IFERROR(VLOOKUP(G10,Stammdaten!$I$2:$J$4,2,FALSE),"")</f>
        <v>20260205131700798-40543</v>
      </c>
      <c r="I10" s="8" t="s">
        <v>103</v>
      </c>
      <c r="J10" s="8" t="s">
        <v>104</v>
      </c>
      <c r="K10" s="8" t="s">
        <v>68</v>
      </c>
      <c r="P10" s="27">
        <f t="shared" ref="P10:P21" si="1">O10-N10</f>
        <v>0</v>
      </c>
      <c r="S10" s="27">
        <f t="shared" ref="S10:S21" si="2">R10-Q10</f>
        <v>0</v>
      </c>
      <c r="V10" s="27">
        <f t="shared" ref="V10:V21" si="3">U10-T10</f>
        <v>0</v>
      </c>
      <c r="W10" s="24" t="s">
        <v>1</v>
      </c>
      <c r="X10" s="23">
        <v>9000</v>
      </c>
      <c r="AD10" s="18">
        <v>46094</v>
      </c>
      <c r="AE10" s="8" t="s">
        <v>34</v>
      </c>
      <c r="AF10" s="3" t="s">
        <v>19</v>
      </c>
      <c r="AG10" s="18">
        <v>46101</v>
      </c>
      <c r="AH10" s="8" t="s">
        <v>35</v>
      </c>
      <c r="AI10" s="3">
        <v>1</v>
      </c>
      <c r="AK10" s="2">
        <v>46126</v>
      </c>
      <c r="AL10" s="2">
        <v>46101</v>
      </c>
      <c r="AM10" s="2">
        <v>46121</v>
      </c>
      <c r="AN10" s="8" t="s">
        <v>35</v>
      </c>
      <c r="AO10" s="2">
        <v>46101</v>
      </c>
      <c r="AP10" s="8" t="s">
        <v>59</v>
      </c>
      <c r="AQ10" s="8" t="str">
        <f>IFERROR(VLOOKUP(AP10,Stammdaten!$U$2:$V$3,2,FALSE),"")</f>
        <v>20251027120457399-19808</v>
      </c>
      <c r="AR10" s="3" t="s">
        <v>121</v>
      </c>
    </row>
    <row r="11" spans="1:47">
      <c r="A11" s="2" t="str">
        <f t="shared" si="0"/>
        <v>20260313_2PP_SP large infill test</v>
      </c>
      <c r="B11" s="2" t="s">
        <v>184</v>
      </c>
      <c r="C11" s="2">
        <v>46094</v>
      </c>
      <c r="D11" s="3" t="s">
        <v>34</v>
      </c>
      <c r="E11" s="3" t="s">
        <v>64</v>
      </c>
      <c r="F11" s="21" t="s">
        <v>80</v>
      </c>
      <c r="G11" s="5" t="s">
        <v>40</v>
      </c>
      <c r="H11" s="8" t="str">
        <f>IFERROR(VLOOKUP(G11,Stammdaten!$I$2:$J$4,2,FALSE),"")</f>
        <v>20260205131700798-40543</v>
      </c>
      <c r="I11" s="8" t="s">
        <v>66</v>
      </c>
      <c r="J11" s="8" t="s">
        <v>65</v>
      </c>
      <c r="K11" s="8" t="s">
        <v>68</v>
      </c>
      <c r="N11" s="27">
        <v>34640</v>
      </c>
      <c r="O11" s="27">
        <v>34821</v>
      </c>
      <c r="P11" s="27">
        <f t="shared" si="1"/>
        <v>181</v>
      </c>
      <c r="Q11" s="27">
        <v>-17174</v>
      </c>
      <c r="R11" s="27">
        <v>-10574</v>
      </c>
      <c r="S11" s="27">
        <f t="shared" si="2"/>
        <v>6600</v>
      </c>
      <c r="T11" s="27">
        <v>-6926</v>
      </c>
      <c r="U11" s="27">
        <v>-10226</v>
      </c>
      <c r="V11" s="27">
        <f t="shared" si="3"/>
        <v>-3300</v>
      </c>
      <c r="W11" s="24" t="s">
        <v>93</v>
      </c>
      <c r="X11" s="23">
        <v>9000</v>
      </c>
      <c r="Y11" s="15">
        <v>11.436</v>
      </c>
      <c r="Z11" s="13" t="s">
        <v>6</v>
      </c>
      <c r="AC11" s="13" t="s">
        <v>6</v>
      </c>
      <c r="AG11" s="18">
        <v>46101</v>
      </c>
      <c r="AH11" s="8" t="s">
        <v>35</v>
      </c>
      <c r="AI11" s="3">
        <v>1</v>
      </c>
      <c r="AN11" s="8"/>
      <c r="AQ11" s="8" t="str">
        <f>IFERROR(VLOOKUP(AP11,Stammdaten!$U$2:$V$3,2,FALSE),"")</f>
        <v/>
      </c>
      <c r="AU11" s="5" t="s">
        <v>75</v>
      </c>
    </row>
    <row r="12" spans="1:47">
      <c r="A12" s="2" t="str">
        <f t="shared" si="0"/>
        <v>20260316_2PP_SP large infill test</v>
      </c>
      <c r="B12" s="2" t="s">
        <v>185</v>
      </c>
      <c r="C12" s="2">
        <v>46097</v>
      </c>
      <c r="D12" s="3" t="s">
        <v>34</v>
      </c>
      <c r="E12" s="3" t="s">
        <v>64</v>
      </c>
      <c r="F12" s="19" t="s">
        <v>80</v>
      </c>
      <c r="G12" s="5" t="s">
        <v>40</v>
      </c>
      <c r="H12" s="8" t="str">
        <f>IFERROR(VLOOKUP(G12,Stammdaten!$I$2:$J$4,2,FALSE),"")</f>
        <v>20260205131700798-40543</v>
      </c>
      <c r="I12" s="8" t="s">
        <v>66</v>
      </c>
      <c r="J12" s="8" t="s">
        <v>65</v>
      </c>
      <c r="K12" s="8" t="s">
        <v>68</v>
      </c>
      <c r="N12" s="27">
        <v>34640</v>
      </c>
      <c r="O12" s="27">
        <v>34821</v>
      </c>
      <c r="P12" s="27">
        <f t="shared" ref="P12" si="4">O12-N12</f>
        <v>181</v>
      </c>
      <c r="Q12" s="27">
        <v>-17174</v>
      </c>
      <c r="R12" s="27">
        <v>-10574</v>
      </c>
      <c r="S12" s="27">
        <f t="shared" ref="S12" si="5">R12-Q12</f>
        <v>6600</v>
      </c>
      <c r="T12" s="27">
        <v>-6926</v>
      </c>
      <c r="U12" s="27">
        <v>-10226</v>
      </c>
      <c r="V12" s="27">
        <f t="shared" ref="V12" si="6">U12-T12</f>
        <v>-3300</v>
      </c>
      <c r="W12" s="24" t="s">
        <v>93</v>
      </c>
      <c r="X12" s="23">
        <v>9000</v>
      </c>
      <c r="Y12" s="15">
        <v>11.486000000000001</v>
      </c>
      <c r="Z12" s="13" t="s">
        <v>18</v>
      </c>
      <c r="AC12" s="13" t="s">
        <v>6</v>
      </c>
      <c r="AD12" s="18">
        <v>46100</v>
      </c>
      <c r="AE12" s="8" t="s">
        <v>34</v>
      </c>
      <c r="AF12" s="3" t="s">
        <v>19</v>
      </c>
      <c r="AG12" s="18">
        <v>46101</v>
      </c>
      <c r="AH12" s="8" t="s">
        <v>35</v>
      </c>
      <c r="AI12" s="3">
        <v>1</v>
      </c>
      <c r="AK12" s="2">
        <v>46126</v>
      </c>
      <c r="AL12" s="2">
        <v>46101</v>
      </c>
      <c r="AM12" s="2">
        <v>46121</v>
      </c>
      <c r="AN12" s="8" t="s">
        <v>35</v>
      </c>
      <c r="AO12" s="2">
        <v>46101</v>
      </c>
      <c r="AP12" s="8" t="s">
        <v>59</v>
      </c>
      <c r="AQ12" s="8" t="str">
        <f>IFERROR(VLOOKUP(AP12,Stammdaten!$U$2:$V$3,2,FALSE),"")</f>
        <v>20251027120457399-19808</v>
      </c>
      <c r="AR12" s="3" t="s">
        <v>121</v>
      </c>
      <c r="AU12" s="5" t="s">
        <v>74</v>
      </c>
    </row>
    <row r="13" spans="1:47">
      <c r="A13" s="2" t="str">
        <f t="shared" si="0"/>
        <v>20260316_2PP_Hybrid Pillar Array</v>
      </c>
      <c r="B13" s="2" t="s">
        <v>186</v>
      </c>
      <c r="C13" s="2">
        <v>46097</v>
      </c>
      <c r="D13" s="3" t="s">
        <v>34</v>
      </c>
      <c r="E13" s="3" t="s">
        <v>69</v>
      </c>
      <c r="F13" s="19" t="s">
        <v>78</v>
      </c>
      <c r="G13" s="5" t="s">
        <v>73</v>
      </c>
      <c r="H13" s="8" t="str">
        <f>IFERROR(VLOOKUP(G13,Stammdaten!$I$2:$J$4,2,FALSE),"")</f>
        <v>20251209154344843-23579</v>
      </c>
      <c r="I13" s="8" t="s">
        <v>70</v>
      </c>
      <c r="K13" s="8" t="s">
        <v>71</v>
      </c>
      <c r="N13" s="27">
        <v>35090</v>
      </c>
      <c r="O13" s="27">
        <v>35207</v>
      </c>
      <c r="P13" s="27">
        <f t="shared" si="1"/>
        <v>117</v>
      </c>
      <c r="Q13" s="27">
        <v>-64014</v>
      </c>
      <c r="R13" s="27">
        <v>-19114</v>
      </c>
      <c r="S13" s="27">
        <f t="shared" si="2"/>
        <v>44900</v>
      </c>
      <c r="T13" s="27">
        <v>2355</v>
      </c>
      <c r="U13" s="27">
        <v>-8844</v>
      </c>
      <c r="V13" s="27">
        <f t="shared" si="3"/>
        <v>-11199</v>
      </c>
      <c r="W13" s="24" t="s">
        <v>93</v>
      </c>
      <c r="X13" s="23">
        <v>9000</v>
      </c>
      <c r="Y13" s="15">
        <v>11.486000000000001</v>
      </c>
      <c r="Z13" s="13" t="s">
        <v>18</v>
      </c>
      <c r="AC13" s="13" t="s">
        <v>18</v>
      </c>
      <c r="AN13" s="8"/>
      <c r="AQ13" s="8" t="str">
        <f>IFERROR(VLOOKUP(AP13,Stammdaten!$U$2:$V$3,2,FALSE),"")</f>
        <v/>
      </c>
    </row>
    <row r="14" spans="1:47">
      <c r="A14" s="2" t="str">
        <f t="shared" si="0"/>
        <v>20260316_2PP_Hybrid Pillar Array  &amp;Mw</v>
      </c>
      <c r="B14" s="2" t="s">
        <v>187</v>
      </c>
      <c r="C14" s="2">
        <v>46097</v>
      </c>
      <c r="D14" s="3" t="s">
        <v>34</v>
      </c>
      <c r="E14" s="3" t="s">
        <v>81</v>
      </c>
      <c r="F14" s="19" t="s">
        <v>79</v>
      </c>
      <c r="G14" s="5" t="s">
        <v>73</v>
      </c>
      <c r="H14" s="8" t="str">
        <f>IFERROR(VLOOKUP(G14,Stammdaten!$I$2:$J$4,2,FALSE),"")</f>
        <v>20251209154344843-23579</v>
      </c>
      <c r="I14" s="8" t="s">
        <v>70</v>
      </c>
      <c r="K14" s="8" t="s">
        <v>71</v>
      </c>
      <c r="N14" s="27">
        <v>35090</v>
      </c>
      <c r="O14" s="27">
        <v>35207</v>
      </c>
      <c r="P14" s="27">
        <f t="shared" ref="P14" si="7">O14-N14</f>
        <v>117</v>
      </c>
      <c r="Q14" s="27">
        <v>-64014</v>
      </c>
      <c r="R14" s="27">
        <v>-19114</v>
      </c>
      <c r="S14" s="27">
        <f t="shared" ref="S14" si="8">R14-Q14</f>
        <v>44900</v>
      </c>
      <c r="T14" s="27">
        <v>2355</v>
      </c>
      <c r="U14" s="27">
        <v>-8844</v>
      </c>
      <c r="V14" s="27">
        <f t="shared" ref="V14" si="9">U14-T14</f>
        <v>-11199</v>
      </c>
      <c r="W14" s="24" t="s">
        <v>93</v>
      </c>
      <c r="X14" s="23">
        <v>9000</v>
      </c>
      <c r="Y14" s="15">
        <v>11.486000000000001</v>
      </c>
      <c r="Z14" s="13" t="s">
        <v>18</v>
      </c>
      <c r="AC14" s="13" t="s">
        <v>18</v>
      </c>
      <c r="AN14" s="8"/>
      <c r="AQ14" s="8" t="str">
        <f>IFERROR(VLOOKUP(AP14,Stammdaten!$U$2:$V$3,2,FALSE),"")</f>
        <v/>
      </c>
    </row>
    <row r="15" spans="1:47">
      <c r="A15" s="2" t="str">
        <f t="shared" si="0"/>
        <v>20260317_2PP_Coordinate System Origin Test</v>
      </c>
      <c r="B15" s="2" t="s">
        <v>188</v>
      </c>
      <c r="C15" s="2">
        <v>46098</v>
      </c>
      <c r="D15" s="3" t="s">
        <v>35</v>
      </c>
      <c r="E15" s="3" t="s">
        <v>83</v>
      </c>
      <c r="F15" s="19" t="s">
        <v>91</v>
      </c>
      <c r="G15" s="5" t="s">
        <v>40</v>
      </c>
      <c r="H15" s="8" t="str">
        <f>IFERROR(VLOOKUP(G15,Stammdaten!$I$2:$J$4,2,FALSE),"")</f>
        <v>20260205131700798-40543</v>
      </c>
      <c r="I15" s="8" t="s">
        <v>82</v>
      </c>
      <c r="J15" s="8" t="s">
        <v>92</v>
      </c>
      <c r="K15" s="8" t="s">
        <v>68</v>
      </c>
      <c r="N15" s="27">
        <v>59330</v>
      </c>
      <c r="O15" s="27">
        <v>59503</v>
      </c>
      <c r="P15" s="27">
        <f t="shared" si="1"/>
        <v>173</v>
      </c>
      <c r="Q15" s="27">
        <v>-1518</v>
      </c>
      <c r="R15" s="27">
        <v>-9719</v>
      </c>
      <c r="S15" s="27">
        <f t="shared" si="2"/>
        <v>-8201</v>
      </c>
      <c r="T15" s="27">
        <v>1176</v>
      </c>
      <c r="U15" s="27">
        <v>-1523</v>
      </c>
      <c r="V15" s="27">
        <f t="shared" si="3"/>
        <v>-2699</v>
      </c>
      <c r="W15" s="24" t="s">
        <v>1</v>
      </c>
      <c r="X15" s="23">
        <v>9000</v>
      </c>
      <c r="Y15" s="15">
        <v>11.734999999999999</v>
      </c>
      <c r="Z15" s="13" t="s">
        <v>18</v>
      </c>
      <c r="AC15" s="13" t="s">
        <v>18</v>
      </c>
      <c r="AD15" s="18">
        <v>46100</v>
      </c>
      <c r="AE15" s="8" t="s">
        <v>34</v>
      </c>
      <c r="AF15" s="3" t="s">
        <v>19</v>
      </c>
      <c r="AG15" s="18">
        <v>46101</v>
      </c>
      <c r="AH15" s="8" t="s">
        <v>35</v>
      </c>
      <c r="AI15" s="3">
        <v>1</v>
      </c>
      <c r="AK15" s="2">
        <v>46126</v>
      </c>
      <c r="AL15" s="2">
        <v>46101</v>
      </c>
      <c r="AM15" s="2">
        <v>46121</v>
      </c>
      <c r="AN15" s="8" t="s">
        <v>35</v>
      </c>
      <c r="AO15" s="2">
        <v>46101</v>
      </c>
      <c r="AP15" s="8" t="s">
        <v>59</v>
      </c>
      <c r="AQ15" s="8" t="str">
        <f>IFERROR(VLOOKUP(AP15,Stammdaten!$U$2:$V$3,2,FALSE),"")</f>
        <v>20251027120457399-19808</v>
      </c>
      <c r="AR15" s="3" t="s">
        <v>121</v>
      </c>
    </row>
    <row r="16" spans="1:47">
      <c r="A16" s="2" t="str">
        <f t="shared" si="0"/>
        <v>20260317_2PP_UV-Sheet Text</v>
      </c>
      <c r="B16" s="2" t="s">
        <v>189</v>
      </c>
      <c r="C16" s="2">
        <v>46098</v>
      </c>
      <c r="D16" s="3" t="s">
        <v>35</v>
      </c>
      <c r="E16" s="3" t="s">
        <v>84</v>
      </c>
      <c r="F16" s="19" t="s">
        <v>89</v>
      </c>
      <c r="G16" s="5" t="s">
        <v>40</v>
      </c>
      <c r="H16" s="8" t="str">
        <f>IFERROR(VLOOKUP(G16,Stammdaten!$I$2:$J$4,2,FALSE),"")</f>
        <v>20260205131700798-40543</v>
      </c>
      <c r="I16" s="8" t="s">
        <v>82</v>
      </c>
      <c r="J16" s="8" t="s">
        <v>92</v>
      </c>
      <c r="K16" s="8" t="s">
        <v>68</v>
      </c>
      <c r="N16" s="27">
        <v>59330</v>
      </c>
      <c r="O16" s="27">
        <v>59503</v>
      </c>
      <c r="P16" s="27">
        <f t="shared" si="1"/>
        <v>173</v>
      </c>
      <c r="Q16" s="27">
        <v>-1518</v>
      </c>
      <c r="R16" s="27">
        <v>-9719</v>
      </c>
      <c r="S16" s="27">
        <f t="shared" si="2"/>
        <v>-8201</v>
      </c>
      <c r="T16" s="27">
        <v>1176</v>
      </c>
      <c r="U16" s="27">
        <v>-1523</v>
      </c>
      <c r="V16" s="27">
        <f t="shared" si="3"/>
        <v>-2699</v>
      </c>
      <c r="W16" s="24" t="s">
        <v>1</v>
      </c>
      <c r="X16" s="23">
        <v>9000</v>
      </c>
      <c r="Y16" s="15">
        <v>11.734999999999999</v>
      </c>
      <c r="Z16" s="13" t="s">
        <v>18</v>
      </c>
      <c r="AC16" s="13" t="s">
        <v>18</v>
      </c>
      <c r="AD16" s="18">
        <v>46100</v>
      </c>
      <c r="AE16" s="8" t="s">
        <v>34</v>
      </c>
      <c r="AF16" s="3" t="s">
        <v>19</v>
      </c>
      <c r="AG16" s="18">
        <v>46101</v>
      </c>
      <c r="AH16" s="8" t="s">
        <v>35</v>
      </c>
      <c r="AI16" s="3">
        <v>1</v>
      </c>
      <c r="AK16" s="2">
        <v>46126</v>
      </c>
      <c r="AL16" s="2">
        <v>46101</v>
      </c>
      <c r="AM16" s="2">
        <v>46121</v>
      </c>
      <c r="AN16" s="8" t="s">
        <v>35</v>
      </c>
      <c r="AO16" s="2">
        <v>46101</v>
      </c>
      <c r="AP16" s="8" t="s">
        <v>59</v>
      </c>
      <c r="AQ16" s="8" t="str">
        <f>IFERROR(VLOOKUP(AP16,Stammdaten!$U$2:$V$3,2,FALSE),"")</f>
        <v>20251027120457399-19808</v>
      </c>
      <c r="AR16" s="3" t="s">
        <v>121</v>
      </c>
    </row>
    <row r="17" spans="1:47">
      <c r="A17" s="2" t="str">
        <f t="shared" si="0"/>
        <v>20260317_2PP_DataMatrix Code Test</v>
      </c>
      <c r="B17" s="2" t="s">
        <v>190</v>
      </c>
      <c r="C17" s="2">
        <v>46098</v>
      </c>
      <c r="D17" s="3" t="s">
        <v>35</v>
      </c>
      <c r="E17" s="3" t="s">
        <v>85</v>
      </c>
      <c r="F17" s="19" t="s">
        <v>90</v>
      </c>
      <c r="G17" s="5" t="s">
        <v>40</v>
      </c>
      <c r="H17" s="8" t="str">
        <f>IFERROR(VLOOKUP(G17,Stammdaten!$I$2:$J$4,2,FALSE),"")</f>
        <v>20260205131700798-40543</v>
      </c>
      <c r="I17" s="8" t="s">
        <v>82</v>
      </c>
      <c r="J17" s="8" t="s">
        <v>92</v>
      </c>
      <c r="K17" s="8" t="s">
        <v>68</v>
      </c>
      <c r="N17" s="27">
        <v>59330</v>
      </c>
      <c r="O17" s="27">
        <v>59503</v>
      </c>
      <c r="P17" s="27">
        <f t="shared" si="1"/>
        <v>173</v>
      </c>
      <c r="Q17" s="27">
        <v>-1518</v>
      </c>
      <c r="R17" s="27">
        <v>-9719</v>
      </c>
      <c r="S17" s="27">
        <f t="shared" si="2"/>
        <v>-8201</v>
      </c>
      <c r="T17" s="27">
        <v>1176</v>
      </c>
      <c r="U17" s="27">
        <v>-1523</v>
      </c>
      <c r="V17" s="27">
        <f t="shared" si="3"/>
        <v>-2699</v>
      </c>
      <c r="W17" s="24" t="s">
        <v>1</v>
      </c>
      <c r="X17" s="23">
        <v>9000</v>
      </c>
      <c r="Y17" s="15">
        <v>11.734999999999999</v>
      </c>
      <c r="Z17" s="13" t="s">
        <v>18</v>
      </c>
      <c r="AC17" s="13" t="s">
        <v>18</v>
      </c>
      <c r="AD17" s="18">
        <v>46100</v>
      </c>
      <c r="AE17" s="8" t="s">
        <v>34</v>
      </c>
      <c r="AF17" s="3" t="s">
        <v>19</v>
      </c>
      <c r="AG17" s="18">
        <v>46101</v>
      </c>
      <c r="AH17" s="8" t="s">
        <v>35</v>
      </c>
      <c r="AI17" s="3">
        <v>1</v>
      </c>
      <c r="AK17" s="2">
        <v>46126</v>
      </c>
      <c r="AL17" s="2">
        <v>46101</v>
      </c>
      <c r="AM17" s="2">
        <v>46121</v>
      </c>
      <c r="AN17" s="8" t="s">
        <v>35</v>
      </c>
      <c r="AO17" s="2">
        <v>46101</v>
      </c>
      <c r="AP17" s="8" t="s">
        <v>59</v>
      </c>
      <c r="AQ17" s="8" t="str">
        <f>IFERROR(VLOOKUP(AP17,Stammdaten!$U$2:$V$3,2,FALSE),"")</f>
        <v>20251027120457399-19808</v>
      </c>
      <c r="AR17" s="3" t="s">
        <v>121</v>
      </c>
    </row>
    <row r="18" spans="1:47">
      <c r="A18" s="2" t="str">
        <f t="shared" si="0"/>
        <v>20260317_2PP_Pillars_TPMS</v>
      </c>
      <c r="B18" s="2" t="s">
        <v>191</v>
      </c>
      <c r="C18" s="2">
        <v>46098</v>
      </c>
      <c r="D18" s="3" t="s">
        <v>35</v>
      </c>
      <c r="E18" s="3" t="s">
        <v>86</v>
      </c>
      <c r="F18" s="19" t="s">
        <v>88</v>
      </c>
      <c r="G18" s="5" t="s">
        <v>40</v>
      </c>
      <c r="H18" s="8" t="str">
        <f>IFERROR(VLOOKUP(G18,Stammdaten!$I$2:$J$4,2,FALSE),"")</f>
        <v>20260205131700798-40543</v>
      </c>
      <c r="I18" s="8" t="s">
        <v>82</v>
      </c>
      <c r="J18" s="8" t="s">
        <v>92</v>
      </c>
      <c r="K18" s="8" t="s">
        <v>68</v>
      </c>
      <c r="N18" s="27">
        <v>59330</v>
      </c>
      <c r="O18" s="27">
        <v>59503</v>
      </c>
      <c r="P18" s="27">
        <f t="shared" si="1"/>
        <v>173</v>
      </c>
      <c r="Q18" s="27">
        <v>-1518</v>
      </c>
      <c r="R18" s="27">
        <v>-9719</v>
      </c>
      <c r="S18" s="27">
        <f t="shared" si="2"/>
        <v>-8201</v>
      </c>
      <c r="T18" s="27">
        <v>1176</v>
      </c>
      <c r="U18" s="27">
        <v>-1523</v>
      </c>
      <c r="V18" s="27">
        <f t="shared" si="3"/>
        <v>-2699</v>
      </c>
      <c r="W18" s="24" t="s">
        <v>1</v>
      </c>
      <c r="X18" s="23">
        <v>9000</v>
      </c>
      <c r="Y18" s="15">
        <v>11.734999999999999</v>
      </c>
      <c r="Z18" s="13" t="s">
        <v>18</v>
      </c>
      <c r="AC18" s="13" t="s">
        <v>6</v>
      </c>
      <c r="AD18" s="18">
        <v>46100</v>
      </c>
      <c r="AE18" s="8" t="s">
        <v>34</v>
      </c>
      <c r="AF18" s="3" t="s">
        <v>19</v>
      </c>
      <c r="AG18" s="18">
        <v>46101</v>
      </c>
      <c r="AH18" s="8" t="s">
        <v>36</v>
      </c>
      <c r="AI18" s="3">
        <v>1</v>
      </c>
      <c r="AK18" s="2">
        <v>46126</v>
      </c>
      <c r="AL18" s="2">
        <v>46101</v>
      </c>
      <c r="AM18" s="2">
        <v>46121</v>
      </c>
      <c r="AN18" s="8" t="s">
        <v>35</v>
      </c>
      <c r="AO18" s="2">
        <v>46101</v>
      </c>
      <c r="AP18" s="8" t="s">
        <v>59</v>
      </c>
      <c r="AQ18" s="8" t="str">
        <f>IFERROR(VLOOKUP(AP18,Stammdaten!$U$2:$V$3,2,FALSE),"")</f>
        <v>20251027120457399-19808</v>
      </c>
      <c r="AR18" s="3" t="s">
        <v>121</v>
      </c>
    </row>
    <row r="19" spans="1:47">
      <c r="A19" s="2" t="str">
        <f t="shared" si="0"/>
        <v>20260319_2PP_Hybrid Pillar Array</v>
      </c>
      <c r="B19" s="2" t="s">
        <v>192</v>
      </c>
      <c r="C19" s="2">
        <v>46100</v>
      </c>
      <c r="D19" s="3" t="s">
        <v>34</v>
      </c>
      <c r="E19" s="3" t="s">
        <v>69</v>
      </c>
      <c r="F19" s="19" t="s">
        <v>77</v>
      </c>
      <c r="G19" s="5" t="s">
        <v>73</v>
      </c>
      <c r="H19" s="8" t="str">
        <f>IFERROR(VLOOKUP(G19,Stammdaten!$I$2:$J$4,2,FALSE),"")</f>
        <v>20251209154344843-23579</v>
      </c>
      <c r="I19" s="8" t="s">
        <v>70</v>
      </c>
      <c r="K19" s="8" t="s">
        <v>76</v>
      </c>
      <c r="N19" s="27">
        <v>35060</v>
      </c>
      <c r="O19" s="27">
        <v>35211</v>
      </c>
      <c r="P19" s="27">
        <f t="shared" si="1"/>
        <v>151</v>
      </c>
      <c r="Q19" s="27">
        <v>-16079</v>
      </c>
      <c r="R19" s="27">
        <v>-9279</v>
      </c>
      <c r="S19" s="27">
        <f t="shared" ref="S19" si="10">R19-Q19</f>
        <v>6800</v>
      </c>
      <c r="T19" s="27">
        <v>4789</v>
      </c>
      <c r="U19" s="27">
        <v>-1016</v>
      </c>
      <c r="V19" s="27">
        <f t="shared" ref="V19" si="11">U19-T19</f>
        <v>-5805</v>
      </c>
      <c r="W19" s="24" t="s">
        <v>93</v>
      </c>
      <c r="X19" s="23">
        <v>9000</v>
      </c>
      <c r="Y19" s="15">
        <v>11.368</v>
      </c>
      <c r="Z19" s="13" t="s">
        <v>18</v>
      </c>
      <c r="AC19" s="13" t="s">
        <v>18</v>
      </c>
      <c r="AQ19" s="8" t="str">
        <f>IFERROR(VLOOKUP(AP19,Stammdaten!$U$2:$V$3,2,FALSE),"")</f>
        <v/>
      </c>
    </row>
    <row r="20" spans="1:47">
      <c r="A20" s="2" t="str">
        <f t="shared" si="0"/>
        <v>20260414_2PP_SchwarzP 2x2x2 array powerxspeed</v>
      </c>
      <c r="B20" s="2" t="s">
        <v>193</v>
      </c>
      <c r="C20" s="2">
        <v>46126</v>
      </c>
      <c r="D20" s="3" t="s">
        <v>35</v>
      </c>
      <c r="E20" s="3" t="s">
        <v>113</v>
      </c>
      <c r="F20" s="19" t="s">
        <v>116</v>
      </c>
      <c r="G20" s="14" t="s">
        <v>40</v>
      </c>
      <c r="H20" s="8" t="str">
        <f>IFERROR(VLOOKUP(G20,Stammdaten!$I$2:$J$5,2,FALSE),"")</f>
        <v>20260205131700798-40543</v>
      </c>
      <c r="I20" s="8" t="s">
        <v>114</v>
      </c>
      <c r="J20" s="8" t="s">
        <v>115</v>
      </c>
      <c r="K20" s="8" t="s">
        <v>68</v>
      </c>
      <c r="N20" s="27">
        <v>59517</v>
      </c>
      <c r="O20" s="27">
        <v>59670</v>
      </c>
      <c r="P20" s="27">
        <f t="shared" si="1"/>
        <v>153</v>
      </c>
      <c r="S20" s="27">
        <f t="shared" si="2"/>
        <v>0</v>
      </c>
      <c r="V20" s="27">
        <f t="shared" si="3"/>
        <v>0</v>
      </c>
      <c r="W20" s="24" t="s">
        <v>1</v>
      </c>
      <c r="X20" s="23">
        <v>9000</v>
      </c>
      <c r="Y20" s="15">
        <v>11.701000000000001</v>
      </c>
      <c r="Z20" s="13" t="s">
        <v>18</v>
      </c>
      <c r="AC20" s="13" t="s">
        <v>6</v>
      </c>
      <c r="AD20" s="18">
        <v>46135</v>
      </c>
      <c r="AE20" s="8" t="s">
        <v>35</v>
      </c>
      <c r="AF20" s="3" t="s">
        <v>19</v>
      </c>
      <c r="AG20" s="18">
        <v>46135</v>
      </c>
      <c r="AH20" s="8" t="s">
        <v>35</v>
      </c>
      <c r="AI20" s="3">
        <v>1</v>
      </c>
      <c r="AK20" s="2">
        <v>46139</v>
      </c>
      <c r="AM20" s="2">
        <v>46139</v>
      </c>
      <c r="AN20" s="8" t="s">
        <v>35</v>
      </c>
      <c r="AO20" s="18">
        <v>46135</v>
      </c>
      <c r="AP20" s="8" t="s">
        <v>58</v>
      </c>
      <c r="AQ20" s="8" t="str">
        <f>IFERROR(VLOOKUP(AP20,Stammdaten!$U$2:$V$3,2,FALSE),"")</f>
        <v>20251113141738982-20612</v>
      </c>
      <c r="AR20" s="3" t="s">
        <v>121</v>
      </c>
    </row>
    <row r="21" spans="1:47">
      <c r="A21" s="2" t="str">
        <f t="shared" si="0"/>
        <v>20260415_2PP_SP large infill test</v>
      </c>
      <c r="B21" s="2" t="s">
        <v>194</v>
      </c>
      <c r="C21" s="2">
        <v>46127</v>
      </c>
      <c r="D21" s="3" t="s">
        <v>34</v>
      </c>
      <c r="E21" s="3" t="s">
        <v>64</v>
      </c>
      <c r="F21" s="21" t="s">
        <v>126</v>
      </c>
      <c r="G21" s="5" t="s">
        <v>125</v>
      </c>
      <c r="H21" s="8" t="str">
        <f>IFERROR(VLOOKUP(G21,Stammdaten!$I$2:$J$5,2,FALSE),"")</f>
        <v>20251113100232864-20580</v>
      </c>
      <c r="I21" s="8" t="s">
        <v>122</v>
      </c>
      <c r="J21" s="8" t="s">
        <v>123</v>
      </c>
      <c r="K21" s="8" t="s">
        <v>68</v>
      </c>
      <c r="N21" s="27">
        <v>34620</v>
      </c>
      <c r="O21" s="27">
        <v>34721</v>
      </c>
      <c r="P21" s="27">
        <f t="shared" si="1"/>
        <v>101</v>
      </c>
      <c r="Q21" s="27">
        <v>-15825</v>
      </c>
      <c r="R21" s="27">
        <v>-10325</v>
      </c>
      <c r="S21" s="27">
        <f t="shared" si="2"/>
        <v>5500</v>
      </c>
      <c r="T21" s="27">
        <v>3229</v>
      </c>
      <c r="U21" s="27">
        <v>-70</v>
      </c>
      <c r="V21" s="27">
        <f t="shared" si="3"/>
        <v>-3299</v>
      </c>
      <c r="W21" s="24" t="s">
        <v>93</v>
      </c>
      <c r="X21" s="23">
        <v>9000</v>
      </c>
      <c r="Y21" s="15">
        <v>11.458</v>
      </c>
      <c r="Z21" s="13" t="s">
        <v>18</v>
      </c>
      <c r="AC21" s="13" t="s">
        <v>18</v>
      </c>
      <c r="AD21" s="18">
        <v>46135</v>
      </c>
      <c r="AE21" s="8" t="s">
        <v>35</v>
      </c>
      <c r="AF21" s="3" t="s">
        <v>19</v>
      </c>
      <c r="AG21" s="18">
        <v>46135</v>
      </c>
      <c r="AH21" s="8" t="s">
        <v>35</v>
      </c>
      <c r="AI21" s="3">
        <v>1</v>
      </c>
      <c r="AK21" s="2">
        <v>46139</v>
      </c>
      <c r="AM21" s="2">
        <v>46139</v>
      </c>
      <c r="AN21" s="8" t="s">
        <v>35</v>
      </c>
      <c r="AO21" s="18">
        <v>46135</v>
      </c>
      <c r="AP21" s="8" t="s">
        <v>58</v>
      </c>
      <c r="AQ21" s="8" t="str">
        <f>IFERROR(VLOOKUP(AP21,Stammdaten!$U$2:$V$3,2,FALSE),"")</f>
        <v>20251113141738982-20612</v>
      </c>
      <c r="AR21" s="3" t="s">
        <v>121</v>
      </c>
    </row>
    <row r="22" spans="1:47">
      <c r="A22" s="2" t="str">
        <f t="shared" si="0"/>
        <v>20260416_2PP_SP large infill test</v>
      </c>
      <c r="B22" s="2" t="s">
        <v>195</v>
      </c>
      <c r="C22" s="2">
        <v>46128</v>
      </c>
      <c r="D22" s="3" t="s">
        <v>34</v>
      </c>
      <c r="E22" s="3" t="s">
        <v>64</v>
      </c>
      <c r="F22" s="21" t="s">
        <v>127</v>
      </c>
      <c r="G22" s="5" t="s">
        <v>125</v>
      </c>
      <c r="H22" s="8" t="str">
        <f>IFERROR(VLOOKUP(G22,Stammdaten!$I$2:$J$5,2,FALSE),"")</f>
        <v>20251113100232864-20580</v>
      </c>
      <c r="I22" s="8" t="s">
        <v>122</v>
      </c>
      <c r="J22" s="8" t="s">
        <v>123</v>
      </c>
      <c r="K22" s="8" t="s">
        <v>68</v>
      </c>
      <c r="N22" s="27">
        <v>34620</v>
      </c>
      <c r="O22" s="27">
        <v>34721</v>
      </c>
      <c r="P22" s="27">
        <f t="shared" ref="P22:P47" si="12">O22-N22</f>
        <v>101</v>
      </c>
      <c r="Q22" s="27">
        <v>-15825</v>
      </c>
      <c r="R22" s="27">
        <v>-10325</v>
      </c>
      <c r="S22" s="27">
        <f t="shared" ref="S22:S44" si="13">R22-Q22</f>
        <v>5500</v>
      </c>
      <c r="T22" s="27">
        <v>3229</v>
      </c>
      <c r="U22" s="27">
        <v>-70</v>
      </c>
      <c r="V22" s="27">
        <f t="shared" ref="V22:V44" si="14">U22-T22</f>
        <v>-3299</v>
      </c>
      <c r="W22" s="24" t="s">
        <v>93</v>
      </c>
      <c r="X22" s="23">
        <v>9000</v>
      </c>
      <c r="Y22" s="15">
        <v>11.458</v>
      </c>
      <c r="Z22" s="13" t="s">
        <v>18</v>
      </c>
      <c r="AC22" s="13" t="s">
        <v>18</v>
      </c>
      <c r="AD22" s="18">
        <v>46135</v>
      </c>
      <c r="AE22" s="8" t="s">
        <v>35</v>
      </c>
      <c r="AF22" s="3" t="s">
        <v>19</v>
      </c>
      <c r="AG22" s="18">
        <v>46135</v>
      </c>
      <c r="AH22" s="8" t="s">
        <v>35</v>
      </c>
      <c r="AI22" s="3">
        <v>1</v>
      </c>
      <c r="AK22" s="2">
        <v>46139</v>
      </c>
      <c r="AM22" s="2">
        <v>46139</v>
      </c>
      <c r="AN22" s="8" t="s">
        <v>35</v>
      </c>
      <c r="AO22" s="18">
        <v>46135</v>
      </c>
      <c r="AP22" s="8" t="s">
        <v>58</v>
      </c>
      <c r="AQ22" s="8" t="str">
        <f>IFERROR(VLOOKUP(AP22,Stammdaten!$U$2:$V$3,2,FALSE),"")</f>
        <v>20251113141738982-20612</v>
      </c>
      <c r="AR22" s="3" t="s">
        <v>121</v>
      </c>
    </row>
    <row r="23" spans="1:47">
      <c r="A23" s="2" t="str">
        <f t="shared" si="0"/>
        <v>20260416_2PP_DataMatrix Code Test2</v>
      </c>
      <c r="B23" s="2" t="s">
        <v>196</v>
      </c>
      <c r="C23" s="2">
        <v>46128</v>
      </c>
      <c r="D23" s="3" t="s">
        <v>35</v>
      </c>
      <c r="E23" s="3" t="s">
        <v>128</v>
      </c>
      <c r="F23" s="21" t="s">
        <v>135</v>
      </c>
      <c r="G23" s="5" t="s">
        <v>40</v>
      </c>
      <c r="H23" s="8" t="str">
        <f>IFERROR(VLOOKUP(G23,Stammdaten!$I$2:$J$5,2,FALSE),"")</f>
        <v>20260205131700798-40543</v>
      </c>
      <c r="I23" s="8" t="s">
        <v>114</v>
      </c>
      <c r="J23" s="8" t="s">
        <v>115</v>
      </c>
      <c r="K23" s="8" t="s">
        <v>68</v>
      </c>
      <c r="N23" s="27">
        <v>59490</v>
      </c>
      <c r="O23" s="27">
        <v>59678</v>
      </c>
      <c r="P23" s="27">
        <f t="shared" si="12"/>
        <v>188</v>
      </c>
      <c r="Q23" s="27">
        <v>-13829</v>
      </c>
      <c r="R23" s="27">
        <v>-10129</v>
      </c>
      <c r="S23" s="27">
        <f t="shared" si="13"/>
        <v>3700</v>
      </c>
      <c r="T23" s="27">
        <v>-3178</v>
      </c>
      <c r="U23" s="27">
        <v>-178</v>
      </c>
      <c r="V23" s="27">
        <f t="shared" si="14"/>
        <v>3000</v>
      </c>
      <c r="W23" s="24" t="s">
        <v>1</v>
      </c>
      <c r="X23" s="23">
        <v>9000</v>
      </c>
      <c r="Y23" s="15">
        <v>11.707000000000001</v>
      </c>
      <c r="Z23" s="13" t="s">
        <v>18</v>
      </c>
      <c r="AC23" s="13" t="s">
        <v>18</v>
      </c>
      <c r="AD23" s="18">
        <v>46135</v>
      </c>
      <c r="AE23" s="8" t="s">
        <v>35</v>
      </c>
      <c r="AF23" s="3" t="s">
        <v>19</v>
      </c>
      <c r="AG23" s="18">
        <v>46135</v>
      </c>
      <c r="AH23" s="8" t="s">
        <v>35</v>
      </c>
      <c r="AI23" s="3">
        <v>1</v>
      </c>
      <c r="AK23" s="2">
        <v>46139</v>
      </c>
      <c r="AM23" s="2">
        <v>46139</v>
      </c>
      <c r="AN23" s="8" t="s">
        <v>35</v>
      </c>
      <c r="AO23" s="18">
        <v>46135</v>
      </c>
      <c r="AP23" s="8" t="s">
        <v>58</v>
      </c>
      <c r="AQ23" s="8" t="str">
        <f>IFERROR(VLOOKUP(AP23,Stammdaten!$U$2:$V$3,2,FALSE),"")</f>
        <v>20251113141738982-20612</v>
      </c>
      <c r="AR23" s="3" t="s">
        <v>121</v>
      </c>
    </row>
    <row r="24" spans="1:47">
      <c r="A24" s="2" t="str">
        <f t="shared" si="0"/>
        <v>20260416_2PP_SchwarzP 2x2x2 array z-offsetxlayerheight</v>
      </c>
      <c r="B24" s="2" t="s">
        <v>197</v>
      </c>
      <c r="C24" s="2">
        <v>46128</v>
      </c>
      <c r="D24" s="3" t="s">
        <v>35</v>
      </c>
      <c r="E24" s="3" t="s">
        <v>129</v>
      </c>
      <c r="F24" s="21" t="s">
        <v>134</v>
      </c>
      <c r="G24" s="5" t="s">
        <v>40</v>
      </c>
      <c r="H24" s="8" t="str">
        <f>IFERROR(VLOOKUP(G24,Stammdaten!$I$2:$J$5,2,FALSE),"")</f>
        <v>20260205131700798-40543</v>
      </c>
      <c r="I24" s="8" t="s">
        <v>114</v>
      </c>
      <c r="J24" s="8" t="s">
        <v>115</v>
      </c>
      <c r="K24" s="8" t="s">
        <v>68</v>
      </c>
      <c r="N24" s="27">
        <v>59490</v>
      </c>
      <c r="O24" s="27">
        <v>59678</v>
      </c>
      <c r="P24" s="27">
        <f t="shared" si="12"/>
        <v>188</v>
      </c>
      <c r="Q24" s="27">
        <v>-13829</v>
      </c>
      <c r="R24" s="27">
        <v>-10129</v>
      </c>
      <c r="S24" s="27">
        <f t="shared" si="13"/>
        <v>3700</v>
      </c>
      <c r="T24" s="27">
        <v>-3178</v>
      </c>
      <c r="U24" s="27">
        <v>-178</v>
      </c>
      <c r="V24" s="27">
        <f t="shared" si="14"/>
        <v>3000</v>
      </c>
      <c r="W24" s="24" t="s">
        <v>1</v>
      </c>
      <c r="X24" s="23">
        <v>9000</v>
      </c>
      <c r="Y24" s="15">
        <v>11.707000000000001</v>
      </c>
      <c r="Z24" s="13" t="s">
        <v>18</v>
      </c>
      <c r="AC24" s="13" t="s">
        <v>6</v>
      </c>
      <c r="AD24" s="18">
        <v>46135</v>
      </c>
      <c r="AE24" s="8" t="s">
        <v>35</v>
      </c>
      <c r="AF24" s="3" t="s">
        <v>19</v>
      </c>
      <c r="AG24" s="18">
        <v>46135</v>
      </c>
      <c r="AH24" s="8" t="s">
        <v>35</v>
      </c>
      <c r="AI24" s="3">
        <v>1</v>
      </c>
      <c r="AK24" s="2">
        <v>46139</v>
      </c>
      <c r="AM24" s="2">
        <v>46139</v>
      </c>
      <c r="AN24" s="8" t="s">
        <v>35</v>
      </c>
      <c r="AO24" s="18">
        <v>46135</v>
      </c>
      <c r="AP24" s="8" t="s">
        <v>58</v>
      </c>
      <c r="AQ24" s="8" t="str">
        <f>IFERROR(VLOOKUP(AP24,Stammdaten!$U$2:$V$3,2,FALSE),"")</f>
        <v>20251113141738982-20612</v>
      </c>
      <c r="AR24" s="3" t="s">
        <v>121</v>
      </c>
    </row>
    <row r="25" spans="1:47">
      <c r="A25" s="2" t="str">
        <f t="shared" si="0"/>
        <v>20260421_2PP_cubes 5x3 array</v>
      </c>
      <c r="B25" s="2" t="s">
        <v>198</v>
      </c>
      <c r="C25" s="2">
        <v>46133</v>
      </c>
      <c r="D25" s="3" t="s">
        <v>35</v>
      </c>
      <c r="E25" s="3" t="s">
        <v>130</v>
      </c>
      <c r="F25" s="21" t="s">
        <v>133</v>
      </c>
      <c r="G25" s="5" t="s">
        <v>40</v>
      </c>
      <c r="H25" s="8" t="str">
        <f>IFERROR(VLOOKUP(G25,Stammdaten!$I$2:$J$5,2,FALSE),"")</f>
        <v>20260205131700798-40543</v>
      </c>
      <c r="I25" s="29" t="s">
        <v>260</v>
      </c>
      <c r="J25" s="8" t="s">
        <v>261</v>
      </c>
      <c r="K25" s="8" t="s">
        <v>68</v>
      </c>
      <c r="N25" s="27">
        <v>59610</v>
      </c>
      <c r="O25" s="27">
        <v>59812</v>
      </c>
      <c r="P25" s="27">
        <f t="shared" si="12"/>
        <v>202</v>
      </c>
      <c r="Q25" s="27">
        <v>-16424</v>
      </c>
      <c r="R25" s="27">
        <v>-11824</v>
      </c>
      <c r="S25" s="27">
        <f t="shared" si="13"/>
        <v>4600</v>
      </c>
      <c r="T25" s="27">
        <v>1141</v>
      </c>
      <c r="U25" s="27">
        <v>-2058</v>
      </c>
      <c r="V25" s="27">
        <f t="shared" si="14"/>
        <v>-3199</v>
      </c>
      <c r="W25" s="24" t="s">
        <v>1</v>
      </c>
      <c r="X25" s="23">
        <v>9000</v>
      </c>
      <c r="Y25" s="15">
        <v>11.726000000000001</v>
      </c>
      <c r="Z25" s="13" t="s">
        <v>18</v>
      </c>
      <c r="AC25" s="13" t="s">
        <v>6</v>
      </c>
      <c r="AD25" s="18">
        <v>46135</v>
      </c>
      <c r="AE25" s="8" t="s">
        <v>35</v>
      </c>
      <c r="AF25" s="3" t="s">
        <v>19</v>
      </c>
      <c r="AG25" s="18">
        <v>46135</v>
      </c>
      <c r="AH25" s="8" t="s">
        <v>35</v>
      </c>
      <c r="AI25" s="3">
        <v>1</v>
      </c>
      <c r="AK25" s="2">
        <v>46139</v>
      </c>
      <c r="AM25" s="2">
        <v>46139</v>
      </c>
      <c r="AN25" s="8" t="s">
        <v>35</v>
      </c>
      <c r="AO25" s="18">
        <v>46135</v>
      </c>
      <c r="AP25" s="8" t="s">
        <v>58</v>
      </c>
      <c r="AQ25" s="8" t="str">
        <f>IFERROR(VLOOKUP(AP25,Stammdaten!$U$2:$V$3,2,FALSE),"")</f>
        <v>20251113141738982-20612</v>
      </c>
      <c r="AR25" s="3" t="s">
        <v>121</v>
      </c>
      <c r="AU25" s="5" t="s">
        <v>136</v>
      </c>
    </row>
    <row r="26" spans="1:47">
      <c r="A26" s="2" t="str">
        <f t="shared" si="0"/>
        <v>20260422_2PP_Schwarz P 2x2x2 array powerxspeed2</v>
      </c>
      <c r="B26" s="2" t="s">
        <v>199</v>
      </c>
      <c r="C26" s="2">
        <v>46134</v>
      </c>
      <c r="D26" s="3" t="s">
        <v>35</v>
      </c>
      <c r="E26" s="3" t="s">
        <v>131</v>
      </c>
      <c r="F26" s="21" t="s">
        <v>132</v>
      </c>
      <c r="G26" s="5" t="s">
        <v>40</v>
      </c>
      <c r="H26" s="8" t="str">
        <f>IFERROR(VLOOKUP(G26,Stammdaten!$I$2:$J$5,2,FALSE),"")</f>
        <v>20260205131700798-40543</v>
      </c>
      <c r="I26" s="29" t="s">
        <v>262</v>
      </c>
      <c r="J26" s="8" t="s">
        <v>263</v>
      </c>
      <c r="K26" s="8" t="s">
        <v>68</v>
      </c>
      <c r="N26" s="27">
        <v>59750</v>
      </c>
      <c r="O26" s="27">
        <v>59907</v>
      </c>
      <c r="P26" s="27">
        <f t="shared" si="12"/>
        <v>157</v>
      </c>
      <c r="Q26" s="27">
        <v>-16547</v>
      </c>
      <c r="R26" s="27">
        <v>-10447</v>
      </c>
      <c r="S26" s="27">
        <f t="shared" si="13"/>
        <v>6100</v>
      </c>
      <c r="T26" s="27">
        <v>-1139</v>
      </c>
      <c r="U26" s="27">
        <v>-4439</v>
      </c>
      <c r="V26" s="27">
        <f t="shared" si="14"/>
        <v>-3300</v>
      </c>
      <c r="W26" s="24" t="s">
        <v>1</v>
      </c>
      <c r="X26" s="23">
        <v>9000</v>
      </c>
      <c r="Y26" s="15">
        <v>11.667</v>
      </c>
      <c r="Z26" s="13" t="s">
        <v>18</v>
      </c>
      <c r="AC26" s="13" t="s">
        <v>18</v>
      </c>
      <c r="AD26" s="18">
        <v>46135</v>
      </c>
      <c r="AE26" s="8" t="s">
        <v>35</v>
      </c>
      <c r="AF26" s="3" t="s">
        <v>19</v>
      </c>
      <c r="AG26" s="18">
        <v>46135</v>
      </c>
      <c r="AH26" s="8" t="s">
        <v>35</v>
      </c>
      <c r="AI26" s="3">
        <v>1</v>
      </c>
      <c r="AK26" s="2">
        <v>46139</v>
      </c>
      <c r="AM26" s="2">
        <v>46139</v>
      </c>
      <c r="AN26" s="8" t="s">
        <v>35</v>
      </c>
      <c r="AO26" s="18">
        <v>46135</v>
      </c>
      <c r="AP26" s="8" t="s">
        <v>58</v>
      </c>
      <c r="AQ26" s="8" t="str">
        <f>IFERROR(VLOOKUP(AP26,Stammdaten!$U$2:$V$3,2,FALSE),"")</f>
        <v>20251113141738982-20612</v>
      </c>
      <c r="AR26" s="3" t="s">
        <v>121</v>
      </c>
      <c r="AU26" s="5" t="s">
        <v>136</v>
      </c>
    </row>
    <row r="27" spans="1:47">
      <c r="A27" s="2" t="str">
        <f t="shared" si="0"/>
        <v>20260428_2PP_speed array 3x5 5mW 1000-10000</v>
      </c>
      <c r="B27" s="2" t="s">
        <v>200</v>
      </c>
      <c r="C27" s="2">
        <v>46140</v>
      </c>
      <c r="D27" s="3" t="s">
        <v>35</v>
      </c>
      <c r="E27" s="3" t="s">
        <v>141</v>
      </c>
      <c r="F27" s="21" t="s">
        <v>147</v>
      </c>
      <c r="G27" s="5" t="s">
        <v>40</v>
      </c>
      <c r="H27" s="8" t="str">
        <f>IFERROR(VLOOKUP(G27,Stammdaten!$I$2:$J$5,2,FALSE),"")</f>
        <v>20260205131700798-40543</v>
      </c>
      <c r="I27" s="29" t="s">
        <v>264</v>
      </c>
      <c r="J27" s="8" t="s">
        <v>265</v>
      </c>
      <c r="K27" s="8" t="s">
        <v>68</v>
      </c>
      <c r="N27" s="27">
        <v>59180</v>
      </c>
      <c r="O27" s="27">
        <v>59462</v>
      </c>
      <c r="P27" s="27">
        <f t="shared" si="12"/>
        <v>282</v>
      </c>
      <c r="Q27" s="27">
        <v>-16631</v>
      </c>
      <c r="R27" s="27">
        <v>-12831</v>
      </c>
      <c r="S27" s="27">
        <f t="shared" si="13"/>
        <v>3800</v>
      </c>
      <c r="T27" s="27">
        <v>510</v>
      </c>
      <c r="U27" s="27">
        <v>2010</v>
      </c>
      <c r="V27" s="27">
        <f t="shared" si="14"/>
        <v>1500</v>
      </c>
      <c r="W27" s="24" t="s">
        <v>1</v>
      </c>
      <c r="X27" s="23">
        <v>9000</v>
      </c>
      <c r="Y27" s="15">
        <v>11.583</v>
      </c>
      <c r="Z27" s="13" t="s">
        <v>18</v>
      </c>
      <c r="AC27" s="13" t="s">
        <v>6</v>
      </c>
      <c r="AD27" s="18">
        <v>46147</v>
      </c>
      <c r="AE27" s="8" t="s">
        <v>35</v>
      </c>
      <c r="AF27" s="3" t="s">
        <v>19</v>
      </c>
      <c r="AG27" s="18">
        <v>46148</v>
      </c>
      <c r="AH27" s="8" t="s">
        <v>35</v>
      </c>
      <c r="AI27" s="3">
        <v>1</v>
      </c>
      <c r="AM27" s="2">
        <v>46168</v>
      </c>
      <c r="AN27" s="8" t="s">
        <v>35</v>
      </c>
      <c r="AO27" s="18">
        <v>46149</v>
      </c>
      <c r="AP27" s="8" t="s">
        <v>59</v>
      </c>
      <c r="AQ27" s="8" t="str">
        <f>IFERROR(VLOOKUP(AP27,Stammdaten!$U$2:$V$3,2,FALSE),"")</f>
        <v>20251027120457399-19808</v>
      </c>
      <c r="AR27" s="3" t="s">
        <v>121</v>
      </c>
    </row>
    <row r="28" spans="1:47">
      <c r="A28" s="2" t="str">
        <f t="shared" si="0"/>
        <v>20260428_2PP_speed array 3x5 8mW 7500-17500</v>
      </c>
      <c r="B28" s="2" t="s">
        <v>201</v>
      </c>
      <c r="C28" s="2">
        <v>46140</v>
      </c>
      <c r="D28" s="3" t="s">
        <v>35</v>
      </c>
      <c r="E28" s="3" t="s">
        <v>142</v>
      </c>
      <c r="F28" s="21" t="s">
        <v>148</v>
      </c>
      <c r="G28" s="5" t="s">
        <v>40</v>
      </c>
      <c r="H28" s="8" t="str">
        <f>IFERROR(VLOOKUP(G28,Stammdaten!$I$2:$J$5,2,FALSE),"")</f>
        <v>20260205131700798-40543</v>
      </c>
      <c r="I28" s="29" t="s">
        <v>264</v>
      </c>
      <c r="J28" s="8" t="s">
        <v>265</v>
      </c>
      <c r="K28" s="8" t="s">
        <v>68</v>
      </c>
      <c r="N28" s="27">
        <v>59180</v>
      </c>
      <c r="O28" s="27">
        <v>59462</v>
      </c>
      <c r="P28" s="27">
        <f t="shared" si="12"/>
        <v>282</v>
      </c>
      <c r="Q28" s="27">
        <v>-16631</v>
      </c>
      <c r="R28" s="27">
        <v>-12831</v>
      </c>
      <c r="S28" s="27">
        <f t="shared" si="13"/>
        <v>3800</v>
      </c>
      <c r="T28" s="27">
        <v>510</v>
      </c>
      <c r="U28" s="27">
        <v>2010</v>
      </c>
      <c r="V28" s="27">
        <f t="shared" si="14"/>
        <v>1500</v>
      </c>
      <c r="W28" s="24" t="s">
        <v>1</v>
      </c>
      <c r="X28" s="23">
        <v>9000</v>
      </c>
      <c r="Y28" s="15">
        <v>11.583</v>
      </c>
      <c r="Z28" s="13" t="s">
        <v>18</v>
      </c>
      <c r="AC28" s="13" t="s">
        <v>6</v>
      </c>
      <c r="AD28" s="18">
        <v>46147</v>
      </c>
      <c r="AE28" s="8" t="s">
        <v>35</v>
      </c>
      <c r="AF28" s="3" t="s">
        <v>19</v>
      </c>
      <c r="AG28" s="18">
        <v>46148</v>
      </c>
      <c r="AH28" s="8" t="s">
        <v>35</v>
      </c>
      <c r="AI28" s="3">
        <v>1</v>
      </c>
      <c r="AM28" s="2">
        <v>46168</v>
      </c>
      <c r="AN28" s="8" t="s">
        <v>35</v>
      </c>
      <c r="AO28" s="18">
        <v>46149</v>
      </c>
      <c r="AP28" s="8" t="s">
        <v>59</v>
      </c>
      <c r="AQ28" s="8" t="str">
        <f>IFERROR(VLOOKUP(AP28,Stammdaten!$U$2:$V$3,2,FALSE),"")</f>
        <v>20251027120457399-19808</v>
      </c>
      <c r="AR28" s="3" t="s">
        <v>121</v>
      </c>
    </row>
    <row r="29" spans="1:47">
      <c r="A29" s="2" t="str">
        <f t="shared" si="0"/>
        <v>20260504_2PP_cubes 3x3 array 7,8,9mW</v>
      </c>
      <c r="B29" s="2" t="s">
        <v>202</v>
      </c>
      <c r="C29" s="2">
        <v>46146</v>
      </c>
      <c r="D29" s="3" t="s">
        <v>35</v>
      </c>
      <c r="E29" s="3" t="s">
        <v>137</v>
      </c>
      <c r="F29" s="21" t="s">
        <v>145</v>
      </c>
      <c r="G29" s="5" t="s">
        <v>40</v>
      </c>
      <c r="H29" s="8" t="str">
        <f>IFERROR(VLOOKUP(G29,Stammdaten!$I$2:$J$5,2,FALSE),"")</f>
        <v>20260205131700798-40543</v>
      </c>
      <c r="I29" s="29" t="s">
        <v>258</v>
      </c>
      <c r="J29" s="8" t="s">
        <v>259</v>
      </c>
      <c r="K29" s="8" t="s">
        <v>68</v>
      </c>
      <c r="N29" s="27">
        <v>59360</v>
      </c>
      <c r="O29" s="27">
        <v>59541</v>
      </c>
      <c r="P29" s="27">
        <f t="shared" si="12"/>
        <v>181</v>
      </c>
      <c r="Q29" s="27">
        <v>-12867</v>
      </c>
      <c r="R29" s="27">
        <v>-8767</v>
      </c>
      <c r="S29" s="27">
        <f t="shared" si="13"/>
        <v>4100</v>
      </c>
      <c r="T29" s="27">
        <v>-689</v>
      </c>
      <c r="U29" s="27">
        <v>1410</v>
      </c>
      <c r="V29" s="27">
        <f t="shared" si="14"/>
        <v>2099</v>
      </c>
      <c r="W29" s="24" t="s">
        <v>1</v>
      </c>
      <c r="X29" s="23">
        <v>9000</v>
      </c>
      <c r="Y29" s="15">
        <v>11.792</v>
      </c>
      <c r="Z29" s="13" t="s">
        <v>18</v>
      </c>
      <c r="AC29" s="13" t="s">
        <v>18</v>
      </c>
      <c r="AD29" s="18">
        <v>46147</v>
      </c>
      <c r="AE29" s="8" t="s">
        <v>35</v>
      </c>
      <c r="AF29" s="3" t="s">
        <v>19</v>
      </c>
      <c r="AG29" s="18">
        <v>46148</v>
      </c>
      <c r="AH29" s="8" t="s">
        <v>35</v>
      </c>
      <c r="AI29" s="3">
        <v>1</v>
      </c>
      <c r="AM29" s="2">
        <v>46168</v>
      </c>
      <c r="AN29" s="8" t="s">
        <v>35</v>
      </c>
      <c r="AO29" s="18">
        <v>46149</v>
      </c>
      <c r="AP29" s="8" t="s">
        <v>59</v>
      </c>
      <c r="AQ29" s="8" t="str">
        <f>IFERROR(VLOOKUP(AP29,Stammdaten!$U$2:$V$3,2,FALSE),"")</f>
        <v>20251027120457399-19808</v>
      </c>
      <c r="AR29" s="3" t="s">
        <v>121</v>
      </c>
    </row>
    <row r="30" spans="1:47">
      <c r="A30" s="2" t="str">
        <f t="shared" si="0"/>
        <v>20260504_2PP_cubes 3x3 array 4,5,6mW</v>
      </c>
      <c r="B30" s="2" t="s">
        <v>203</v>
      </c>
      <c r="C30" s="2">
        <v>46146</v>
      </c>
      <c r="D30" s="3" t="s">
        <v>35</v>
      </c>
      <c r="E30" s="3" t="s">
        <v>138</v>
      </c>
      <c r="F30" s="21" t="s">
        <v>146</v>
      </c>
      <c r="G30" s="5" t="s">
        <v>40</v>
      </c>
      <c r="H30" s="8" t="str">
        <f>IFERROR(VLOOKUP(G30,Stammdaten!$I$2:$J$5,2,FALSE),"")</f>
        <v>20260205131700798-40543</v>
      </c>
      <c r="I30" s="29" t="s">
        <v>258</v>
      </c>
      <c r="J30" s="8" t="s">
        <v>259</v>
      </c>
      <c r="K30" s="8" t="s">
        <v>68</v>
      </c>
      <c r="N30" s="27">
        <v>59360</v>
      </c>
      <c r="O30" s="27">
        <v>59541</v>
      </c>
      <c r="P30" s="27">
        <f t="shared" si="12"/>
        <v>181</v>
      </c>
      <c r="Q30" s="27">
        <v>-12867</v>
      </c>
      <c r="R30" s="27">
        <v>-8767</v>
      </c>
      <c r="S30" s="27">
        <f t="shared" si="13"/>
        <v>4100</v>
      </c>
      <c r="T30" s="27">
        <v>-689</v>
      </c>
      <c r="U30" s="27">
        <v>1410</v>
      </c>
      <c r="V30" s="27">
        <f t="shared" si="14"/>
        <v>2099</v>
      </c>
      <c r="W30" s="24" t="s">
        <v>1</v>
      </c>
      <c r="X30" s="23">
        <v>9000</v>
      </c>
      <c r="Y30" s="15">
        <v>11.792</v>
      </c>
      <c r="Z30" s="13" t="s">
        <v>18</v>
      </c>
      <c r="AC30" s="13" t="s">
        <v>18</v>
      </c>
      <c r="AD30" s="18">
        <v>46147</v>
      </c>
      <c r="AE30" s="8" t="s">
        <v>35</v>
      </c>
      <c r="AF30" s="3" t="s">
        <v>19</v>
      </c>
      <c r="AG30" s="18">
        <v>46148</v>
      </c>
      <c r="AH30" s="8" t="s">
        <v>35</v>
      </c>
      <c r="AI30" s="3">
        <v>1</v>
      </c>
      <c r="AM30" s="2">
        <v>46168</v>
      </c>
      <c r="AN30" s="8" t="s">
        <v>35</v>
      </c>
      <c r="AO30" s="18">
        <v>46149</v>
      </c>
      <c r="AP30" s="8" t="s">
        <v>59</v>
      </c>
      <c r="AQ30" s="8" t="str">
        <f>IFERROR(VLOOKUP(AP30,Stammdaten!$U$2:$V$3,2,FALSE),"")</f>
        <v>20251027120457399-19808</v>
      </c>
      <c r="AR30" s="3" t="s">
        <v>121</v>
      </c>
    </row>
    <row r="31" spans="1:47">
      <c r="A31" s="2" t="str">
        <f t="shared" si="0"/>
        <v>20260505_2PP_cubes u Schwarz P array nanoindent(8mW)</v>
      </c>
      <c r="B31" s="2" t="s">
        <v>204</v>
      </c>
      <c r="C31" s="2">
        <v>46147</v>
      </c>
      <c r="D31" s="3" t="s">
        <v>35</v>
      </c>
      <c r="E31" s="3" t="s">
        <v>139</v>
      </c>
      <c r="F31" s="21" t="s">
        <v>144</v>
      </c>
      <c r="G31" s="5" t="s">
        <v>40</v>
      </c>
      <c r="H31" s="8" t="str">
        <f>IFERROR(VLOOKUP(G31,Stammdaten!$I$2:$J$5,2,FALSE),"")</f>
        <v>20260205131700798-40543</v>
      </c>
      <c r="I31" s="29" t="s">
        <v>258</v>
      </c>
      <c r="J31" s="8" t="s">
        <v>259</v>
      </c>
      <c r="K31" s="8" t="s">
        <v>68</v>
      </c>
      <c r="N31" s="27">
        <v>59360</v>
      </c>
      <c r="O31" s="27">
        <v>59541</v>
      </c>
      <c r="P31" s="27">
        <f t="shared" si="12"/>
        <v>181</v>
      </c>
      <c r="Q31" s="27">
        <v>-12867</v>
      </c>
      <c r="R31" s="27">
        <v>-8767</v>
      </c>
      <c r="S31" s="27">
        <f t="shared" si="13"/>
        <v>4100</v>
      </c>
      <c r="T31" s="27">
        <v>-689</v>
      </c>
      <c r="U31" s="27">
        <v>1410</v>
      </c>
      <c r="V31" s="27">
        <f t="shared" si="14"/>
        <v>2099</v>
      </c>
      <c r="W31" s="24" t="s">
        <v>1</v>
      </c>
      <c r="X31" s="23">
        <v>9000</v>
      </c>
      <c r="Y31" s="15">
        <v>11.792</v>
      </c>
      <c r="Z31" s="13" t="s">
        <v>18</v>
      </c>
      <c r="AC31" s="13" t="s">
        <v>6</v>
      </c>
      <c r="AD31" s="18">
        <v>46147</v>
      </c>
      <c r="AE31" s="8" t="s">
        <v>35</v>
      </c>
      <c r="AF31" s="3" t="s">
        <v>19</v>
      </c>
      <c r="AG31" s="18">
        <v>46148</v>
      </c>
      <c r="AH31" s="8" t="s">
        <v>35</v>
      </c>
      <c r="AI31" s="3">
        <v>1</v>
      </c>
      <c r="AM31" s="2">
        <v>46168</v>
      </c>
      <c r="AN31" s="8" t="s">
        <v>35</v>
      </c>
      <c r="AO31" s="18">
        <v>46149</v>
      </c>
      <c r="AP31" s="8" t="s">
        <v>59</v>
      </c>
      <c r="AQ31" s="8" t="str">
        <f>IFERROR(VLOOKUP(AP31,Stammdaten!$U$2:$V$3,2,FALSE),"")</f>
        <v>20251027120457399-19808</v>
      </c>
      <c r="AR31" s="3" t="s">
        <v>121</v>
      </c>
    </row>
    <row r="32" spans="1:47">
      <c r="A32" s="2" t="str">
        <f t="shared" si="0"/>
        <v>20260505_2PP_cubes u Schwarz P array nanoindent(5mW)</v>
      </c>
      <c r="B32" s="2" t="s">
        <v>205</v>
      </c>
      <c r="C32" s="2">
        <v>46147</v>
      </c>
      <c r="D32" s="3" t="s">
        <v>35</v>
      </c>
      <c r="E32" s="3" t="s">
        <v>140</v>
      </c>
      <c r="F32" s="21" t="s">
        <v>143</v>
      </c>
      <c r="G32" s="5" t="s">
        <v>40</v>
      </c>
      <c r="H32" s="8" t="str">
        <f>IFERROR(VLOOKUP(G32,Stammdaten!$I$2:$J$5,2,FALSE),"")</f>
        <v>20260205131700798-40543</v>
      </c>
      <c r="I32" s="29" t="s">
        <v>258</v>
      </c>
      <c r="J32" s="8" t="s">
        <v>259</v>
      </c>
      <c r="K32" s="8" t="s">
        <v>68</v>
      </c>
      <c r="N32" s="27">
        <v>59360</v>
      </c>
      <c r="O32" s="27">
        <v>59541</v>
      </c>
      <c r="P32" s="27">
        <f t="shared" si="12"/>
        <v>181</v>
      </c>
      <c r="Q32" s="27">
        <v>-12867</v>
      </c>
      <c r="R32" s="27">
        <v>-8767</v>
      </c>
      <c r="S32" s="27">
        <f t="shared" si="13"/>
        <v>4100</v>
      </c>
      <c r="T32" s="27">
        <v>-689</v>
      </c>
      <c r="U32" s="27">
        <v>1410</v>
      </c>
      <c r="V32" s="27">
        <f t="shared" si="14"/>
        <v>2099</v>
      </c>
      <c r="W32" s="24" t="s">
        <v>1</v>
      </c>
      <c r="X32" s="23">
        <v>9000</v>
      </c>
      <c r="Y32" s="15">
        <v>11.792</v>
      </c>
      <c r="Z32" s="13" t="s">
        <v>18</v>
      </c>
      <c r="AC32" s="13" t="s">
        <v>6</v>
      </c>
      <c r="AD32" s="18">
        <v>46147</v>
      </c>
      <c r="AE32" s="8" t="s">
        <v>35</v>
      </c>
      <c r="AF32" s="3" t="s">
        <v>19</v>
      </c>
      <c r="AG32" s="18">
        <v>46148</v>
      </c>
      <c r="AH32" s="8" t="s">
        <v>35</v>
      </c>
      <c r="AI32" s="3">
        <v>1</v>
      </c>
      <c r="AM32" s="2">
        <v>46168</v>
      </c>
      <c r="AN32" s="8" t="s">
        <v>35</v>
      </c>
      <c r="AO32" s="18">
        <v>46149</v>
      </c>
      <c r="AP32" s="8" t="s">
        <v>59</v>
      </c>
      <c r="AQ32" s="8" t="str">
        <f>IFERROR(VLOOKUP(AP32,Stammdaten!$U$2:$V$3,2,FALSE),"")</f>
        <v>20251027120457399-19808</v>
      </c>
      <c r="AR32" s="3" t="s">
        <v>121</v>
      </c>
    </row>
    <row r="33" spans="1:43">
      <c r="A33" s="2" t="str">
        <f t="shared" si="0"/>
        <v>20260529_2PP_cubes 3x3 array 4,5,6mW</v>
      </c>
      <c r="B33" s="2" t="s">
        <v>206</v>
      </c>
      <c r="C33" s="2">
        <v>46171</v>
      </c>
      <c r="D33" s="3" t="s">
        <v>35</v>
      </c>
      <c r="E33" s="3" t="s">
        <v>138</v>
      </c>
      <c r="F33" s="21"/>
      <c r="G33" s="5" t="s">
        <v>40</v>
      </c>
      <c r="H33" s="8" t="str">
        <f>IFERROR(VLOOKUP(G33,Stammdaten!$I$2:$J$5,2,FALSE),"")</f>
        <v>20260205131700798-40543</v>
      </c>
      <c r="I33" s="8" t="s">
        <v>149</v>
      </c>
      <c r="J33" s="8" t="s">
        <v>150</v>
      </c>
      <c r="K33" s="8" t="s">
        <v>68</v>
      </c>
      <c r="N33" s="27">
        <v>59490</v>
      </c>
      <c r="O33" s="27">
        <v>59653</v>
      </c>
      <c r="P33" s="27">
        <f t="shared" si="12"/>
        <v>163</v>
      </c>
      <c r="S33" s="27">
        <f t="shared" si="13"/>
        <v>0</v>
      </c>
      <c r="V33" s="27">
        <f t="shared" si="14"/>
        <v>0</v>
      </c>
      <c r="W33" s="24" t="s">
        <v>1</v>
      </c>
      <c r="X33" s="23">
        <v>9000</v>
      </c>
      <c r="Y33" s="15">
        <v>12.045999999999999</v>
      </c>
      <c r="Z33" s="13" t="s">
        <v>18</v>
      </c>
      <c r="AC33" s="13" t="s">
        <v>6</v>
      </c>
      <c r="AD33" s="18">
        <v>46174</v>
      </c>
      <c r="AE33" s="8" t="s">
        <v>36</v>
      </c>
      <c r="AF33" s="3" t="s">
        <v>19</v>
      </c>
      <c r="AG33" s="18">
        <v>46185</v>
      </c>
      <c r="AH33" s="8" t="s">
        <v>35</v>
      </c>
      <c r="AI33" s="3">
        <v>1</v>
      </c>
      <c r="AQ33" s="8" t="str">
        <f>IFERROR(VLOOKUP(AP33,Stammdaten!$U$2:$V$3,2,FALSE),"")</f>
        <v/>
      </c>
    </row>
    <row r="34" spans="1:43">
      <c r="A34" s="2" t="str">
        <f t="shared" si="0"/>
        <v xml:space="preserve">20260601_2PP_Pillar Test 8YSZ </v>
      </c>
      <c r="B34" s="2" t="s">
        <v>207</v>
      </c>
      <c r="C34" s="2">
        <v>46174</v>
      </c>
      <c r="D34" s="3" t="s">
        <v>36</v>
      </c>
      <c r="E34" s="3" t="s">
        <v>168</v>
      </c>
      <c r="F34" s="21"/>
      <c r="G34" s="3" t="s">
        <v>169</v>
      </c>
      <c r="H34" s="5" t="s">
        <v>170</v>
      </c>
      <c r="I34" s="8" t="s">
        <v>174</v>
      </c>
      <c r="J34" s="28" t="s">
        <v>173</v>
      </c>
      <c r="K34" s="8" t="s">
        <v>68</v>
      </c>
      <c r="P34" s="27">
        <f t="shared" si="12"/>
        <v>0</v>
      </c>
      <c r="S34" s="27">
        <f t="shared" si="13"/>
        <v>0</v>
      </c>
      <c r="V34" s="27">
        <f t="shared" si="14"/>
        <v>0</v>
      </c>
      <c r="AD34" s="18">
        <v>46174</v>
      </c>
      <c r="AE34" s="8" t="s">
        <v>36</v>
      </c>
      <c r="AF34" s="3" t="s">
        <v>19</v>
      </c>
      <c r="AG34" s="18">
        <v>46185</v>
      </c>
      <c r="AH34" s="8" t="s">
        <v>35</v>
      </c>
      <c r="AI34" s="3">
        <v>1</v>
      </c>
      <c r="AQ34" s="8" t="str">
        <f>IFERROR(VLOOKUP(AP34,Stammdaten!$U$2:$V$3,2,FALSE),"")</f>
        <v/>
      </c>
    </row>
    <row r="35" spans="1:43">
      <c r="A35" s="2" t="str">
        <f t="shared" si="0"/>
        <v>19000100_2PP_</v>
      </c>
      <c r="B35" s="2" t="s">
        <v>208</v>
      </c>
      <c r="H35" s="8" t="str">
        <f>IFERROR(VLOOKUP(#REF!,Stammdaten!$I$2:$J$5,2,FALSE),"")</f>
        <v/>
      </c>
      <c r="P35" s="27">
        <f t="shared" si="12"/>
        <v>0</v>
      </c>
      <c r="S35" s="27">
        <f t="shared" si="13"/>
        <v>0</v>
      </c>
      <c r="V35" s="27">
        <f t="shared" si="14"/>
        <v>0</v>
      </c>
      <c r="AQ35" s="8" t="str">
        <f>IFERROR(VLOOKUP(AP35,Stammdaten!$U$2:$V$3,2,FALSE),"")</f>
        <v/>
      </c>
    </row>
    <row r="36" spans="1:43">
      <c r="A36" s="2" t="str">
        <f t="shared" si="0"/>
        <v>19000100_2PP_</v>
      </c>
      <c r="B36" s="2" t="s">
        <v>209</v>
      </c>
      <c r="H36" s="8" t="str">
        <f>IFERROR(VLOOKUP(G35,Stammdaten!$I$2:$J$5,2,FALSE),"")</f>
        <v/>
      </c>
      <c r="P36" s="27">
        <f t="shared" si="12"/>
        <v>0</v>
      </c>
      <c r="S36" s="27">
        <f t="shared" si="13"/>
        <v>0</v>
      </c>
      <c r="V36" s="27">
        <f t="shared" si="14"/>
        <v>0</v>
      </c>
      <c r="AQ36" s="8" t="str">
        <f>IFERROR(VLOOKUP(AP36,Stammdaten!$U$2:$V$3,2,FALSE),"")</f>
        <v/>
      </c>
    </row>
    <row r="37" spans="1:43">
      <c r="A37" s="2" t="str">
        <f t="shared" si="0"/>
        <v>20260602_2PP_Bussi 100µm 1000 6mW</v>
      </c>
      <c r="B37" s="2" t="s">
        <v>210</v>
      </c>
      <c r="C37" s="2">
        <v>46175</v>
      </c>
      <c r="D37" s="3" t="s">
        <v>34</v>
      </c>
      <c r="E37" s="3" t="s">
        <v>151</v>
      </c>
      <c r="G37" s="5" t="s">
        <v>40</v>
      </c>
      <c r="H37" s="8" t="str">
        <f>IFERROR(VLOOKUP(G37,Stammdaten!$I$2:$J$5,2,FALSE),"")</f>
        <v>20260205131700798-40543</v>
      </c>
      <c r="I37" s="8" t="s">
        <v>158</v>
      </c>
      <c r="J37" s="8" t="s">
        <v>159</v>
      </c>
      <c r="K37" s="8" t="s">
        <v>68</v>
      </c>
      <c r="N37" s="27">
        <v>59740</v>
      </c>
      <c r="O37" s="27">
        <v>59911</v>
      </c>
      <c r="P37" s="27">
        <f t="shared" si="12"/>
        <v>171</v>
      </c>
      <c r="Q37" s="27">
        <v>-8334</v>
      </c>
      <c r="R37" s="27">
        <v>-17134</v>
      </c>
      <c r="S37" s="27">
        <f t="shared" si="13"/>
        <v>-8800</v>
      </c>
      <c r="T37" s="27">
        <v>1283</v>
      </c>
      <c r="U37" s="27">
        <v>-3016</v>
      </c>
      <c r="V37" s="27">
        <f t="shared" si="14"/>
        <v>-4299</v>
      </c>
      <c r="W37" s="24" t="s">
        <v>1</v>
      </c>
      <c r="X37" s="23">
        <v>9000</v>
      </c>
      <c r="Y37" s="15">
        <v>12.311</v>
      </c>
      <c r="Z37" s="13" t="s">
        <v>6</v>
      </c>
      <c r="AC37" s="13" t="s">
        <v>18</v>
      </c>
      <c r="AQ37" s="8" t="str">
        <f>IFERROR(VLOOKUP(AP37,Stammdaten!$U$2:$V$3,2,FALSE),"")</f>
        <v/>
      </c>
    </row>
    <row r="38" spans="1:43">
      <c r="A38" s="2" t="str">
        <f t="shared" si="0"/>
        <v>20260602_2PP_Bussi 100µm 5000 4mW</v>
      </c>
      <c r="B38" s="2" t="s">
        <v>211</v>
      </c>
      <c r="C38" s="2">
        <v>46175</v>
      </c>
      <c r="D38" s="3" t="s">
        <v>34</v>
      </c>
      <c r="E38" s="3" t="s">
        <v>152</v>
      </c>
      <c r="G38" s="5" t="s">
        <v>40</v>
      </c>
      <c r="H38" s="8" t="str">
        <f>IFERROR(VLOOKUP(G38,Stammdaten!$I$2:$J$5,2,FALSE),"")</f>
        <v>20260205131700798-40543</v>
      </c>
      <c r="I38" s="8" t="s">
        <v>158</v>
      </c>
      <c r="J38" s="8" t="s">
        <v>159</v>
      </c>
      <c r="K38" s="8" t="s">
        <v>68</v>
      </c>
      <c r="N38" s="27">
        <v>59740</v>
      </c>
      <c r="O38" s="27">
        <v>59911</v>
      </c>
      <c r="P38" s="27">
        <f t="shared" ref="P38" si="15">O38-N38</f>
        <v>171</v>
      </c>
      <c r="Q38" s="27">
        <v>-8334</v>
      </c>
      <c r="R38" s="27">
        <v>-17134</v>
      </c>
      <c r="S38" s="27">
        <f t="shared" ref="S38" si="16">R38-Q38</f>
        <v>-8800</v>
      </c>
      <c r="T38" s="27">
        <v>1283</v>
      </c>
      <c r="U38" s="27">
        <v>-3016</v>
      </c>
      <c r="V38" s="27">
        <f t="shared" ref="V38" si="17">U38-T38</f>
        <v>-4299</v>
      </c>
      <c r="W38" s="24" t="s">
        <v>1</v>
      </c>
      <c r="X38" s="23">
        <v>9000</v>
      </c>
      <c r="Y38" s="15">
        <v>12.311</v>
      </c>
      <c r="Z38" s="13" t="s">
        <v>6</v>
      </c>
      <c r="AC38" s="13" t="s">
        <v>18</v>
      </c>
      <c r="AQ38" s="8" t="str">
        <f>IFERROR(VLOOKUP(AP38,Stammdaten!$U$2:$V$3,2,FALSE),"")</f>
        <v/>
      </c>
    </row>
    <row r="39" spans="1:43">
      <c r="A39" s="2" t="str">
        <f t="shared" si="0"/>
        <v>19000100_2PP_</v>
      </c>
      <c r="B39" s="2" t="s">
        <v>212</v>
      </c>
      <c r="C39" s="2"/>
      <c r="D39" s="3" t="s">
        <v>34</v>
      </c>
    </row>
    <row r="40" spans="1:43">
      <c r="A40" s="2" t="str">
        <f t="shared" si="0"/>
        <v>19000100_2PP_</v>
      </c>
      <c r="B40" s="2" t="s">
        <v>213</v>
      </c>
      <c r="C40" s="2"/>
      <c r="D40" s="3" t="s">
        <v>34</v>
      </c>
    </row>
    <row r="41" spans="1:43">
      <c r="A41" s="2" t="str">
        <f t="shared" si="0"/>
        <v>20260608_2PP_cubes 3x3 array 7,8,9mw</v>
      </c>
      <c r="B41" s="2" t="s">
        <v>214</v>
      </c>
      <c r="C41" s="2">
        <v>46181</v>
      </c>
      <c r="D41" s="3" t="s">
        <v>35</v>
      </c>
      <c r="E41" s="3" t="s">
        <v>155</v>
      </c>
      <c r="G41" s="5" t="s">
        <v>40</v>
      </c>
      <c r="H41" s="8" t="str">
        <f>IFERROR(VLOOKUP(G41,Stammdaten!$I$2:$J$5,2,FALSE),"")</f>
        <v>20260205131700798-40543</v>
      </c>
      <c r="I41" s="8" t="s">
        <v>156</v>
      </c>
      <c r="J41" s="8" t="s">
        <v>150</v>
      </c>
      <c r="K41" s="8" t="s">
        <v>68</v>
      </c>
      <c r="N41" s="27">
        <v>59476</v>
      </c>
      <c r="O41" s="27">
        <v>59637</v>
      </c>
      <c r="P41" s="27">
        <f t="shared" si="12"/>
        <v>161</v>
      </c>
      <c r="S41" s="27">
        <f t="shared" si="13"/>
        <v>0</v>
      </c>
      <c r="V41" s="27">
        <f t="shared" si="14"/>
        <v>0</v>
      </c>
      <c r="W41" s="24" t="s">
        <v>1</v>
      </c>
      <c r="X41" s="23">
        <v>9000</v>
      </c>
      <c r="Y41" s="15">
        <v>11.91</v>
      </c>
      <c r="Z41" s="13" t="s">
        <v>18</v>
      </c>
      <c r="AC41" s="13" t="s">
        <v>18</v>
      </c>
      <c r="AD41" s="18">
        <v>46181</v>
      </c>
      <c r="AE41" s="8" t="s">
        <v>35</v>
      </c>
      <c r="AF41" s="3" t="s">
        <v>19</v>
      </c>
      <c r="AG41" s="18">
        <v>46185</v>
      </c>
      <c r="AH41" s="8" t="s">
        <v>35</v>
      </c>
      <c r="AQ41" s="8" t="str">
        <f>IFERROR(VLOOKUP(AP41,Stammdaten!$U$2:$V$3,2,FALSE),"")</f>
        <v/>
      </c>
    </row>
    <row r="42" spans="1:43">
      <c r="A42" s="2" t="str">
        <f t="shared" si="0"/>
        <v>20260608_2PP_3-point-bending V01</v>
      </c>
      <c r="B42" s="2" t="s">
        <v>215</v>
      </c>
      <c r="C42" s="2">
        <v>46181</v>
      </c>
      <c r="D42" s="3" t="s">
        <v>35</v>
      </c>
      <c r="E42" s="3" t="s">
        <v>157</v>
      </c>
      <c r="G42" s="5" t="s">
        <v>40</v>
      </c>
      <c r="H42" s="8" t="str">
        <f>IFERROR(VLOOKUP(G42,Stammdaten!$I$2:$J$5,2,FALSE),"")</f>
        <v>20260205131700798-40543</v>
      </c>
      <c r="I42" s="8" t="s">
        <v>156</v>
      </c>
      <c r="J42" s="8" t="s">
        <v>150</v>
      </c>
      <c r="K42" s="8" t="s">
        <v>68</v>
      </c>
      <c r="N42" s="27">
        <v>59476</v>
      </c>
      <c r="O42" s="27">
        <v>59637</v>
      </c>
      <c r="P42" s="27">
        <f t="shared" si="12"/>
        <v>161</v>
      </c>
      <c r="S42" s="27">
        <f t="shared" si="13"/>
        <v>0</v>
      </c>
      <c r="V42" s="27">
        <f t="shared" si="14"/>
        <v>0</v>
      </c>
      <c r="W42" s="24" t="s">
        <v>1</v>
      </c>
      <c r="X42" s="23">
        <v>9000</v>
      </c>
      <c r="Y42" s="15">
        <v>11.91</v>
      </c>
      <c r="Z42" s="13" t="s">
        <v>18</v>
      </c>
      <c r="AC42" s="13" t="s">
        <v>18</v>
      </c>
      <c r="AD42" s="18">
        <v>46181</v>
      </c>
      <c r="AE42" s="8" t="s">
        <v>35</v>
      </c>
      <c r="AF42" s="3" t="s">
        <v>19</v>
      </c>
      <c r="AG42" s="18">
        <v>46185</v>
      </c>
      <c r="AH42" s="8" t="s">
        <v>35</v>
      </c>
      <c r="AQ42" s="8" t="str">
        <f>IFERROR(VLOOKUP(AP42,Stammdaten!$U$2:$V$3,2,FALSE),"")</f>
        <v/>
      </c>
    </row>
    <row r="43" spans="1:43">
      <c r="A43" s="2" t="str">
        <f t="shared" si="0"/>
        <v>20260609_2PP_Bus 50ym</v>
      </c>
      <c r="B43" s="2" t="s">
        <v>216</v>
      </c>
      <c r="C43" s="2">
        <v>46182</v>
      </c>
      <c r="D43" s="3" t="s">
        <v>153</v>
      </c>
      <c r="E43" s="3" t="s">
        <v>160</v>
      </c>
      <c r="G43" s="5" t="s">
        <v>40</v>
      </c>
      <c r="H43" s="8" t="str">
        <f>IFERROR(VLOOKUP(G43,Stammdaten!$I$2:$J$5,2,FALSE),"")</f>
        <v>20260205131700798-40543</v>
      </c>
      <c r="I43" s="8" t="s">
        <v>161</v>
      </c>
      <c r="J43" s="8" t="s">
        <v>175</v>
      </c>
      <c r="K43" s="8" t="s">
        <v>68</v>
      </c>
      <c r="N43" s="27">
        <v>59010</v>
      </c>
      <c r="O43" s="27">
        <v>59210</v>
      </c>
      <c r="P43" s="27">
        <f t="shared" si="12"/>
        <v>200</v>
      </c>
      <c r="S43" s="27">
        <f t="shared" si="13"/>
        <v>0</v>
      </c>
      <c r="V43" s="27">
        <f t="shared" si="14"/>
        <v>0</v>
      </c>
      <c r="W43" s="24" t="s">
        <v>1</v>
      </c>
      <c r="X43" s="23">
        <v>9000</v>
      </c>
      <c r="Y43" s="15">
        <v>11.994999999999999</v>
      </c>
      <c r="Z43" s="13" t="s">
        <v>18</v>
      </c>
      <c r="AA43" s="13">
        <v>0</v>
      </c>
      <c r="AB43" s="13">
        <v>0</v>
      </c>
      <c r="AC43" s="13" t="s">
        <v>18</v>
      </c>
      <c r="AD43" s="18">
        <v>46182</v>
      </c>
      <c r="AE43" s="3" t="s">
        <v>153</v>
      </c>
      <c r="AF43" s="3" t="s">
        <v>19</v>
      </c>
      <c r="AG43" s="18">
        <v>46185</v>
      </c>
      <c r="AH43" s="8" t="s">
        <v>35</v>
      </c>
      <c r="AI43" s="3">
        <v>1</v>
      </c>
      <c r="AL43" s="2">
        <v>46188</v>
      </c>
      <c r="AQ43" s="8" t="str">
        <f>IFERROR(VLOOKUP(AP43,Stammdaten!$U$2:$V$3,2,FALSE),"")</f>
        <v/>
      </c>
    </row>
    <row r="44" spans="1:43">
      <c r="A44" s="2" t="str">
        <f t="shared" si="0"/>
        <v>20260609_2PP_Bus 50ym-2</v>
      </c>
      <c r="B44" s="2" t="s">
        <v>217</v>
      </c>
      <c r="C44" s="2">
        <v>46182</v>
      </c>
      <c r="D44" s="3" t="s">
        <v>153</v>
      </c>
      <c r="E44" s="3" t="s">
        <v>166</v>
      </c>
      <c r="G44" s="5" t="s">
        <v>40</v>
      </c>
      <c r="H44" s="8" t="str">
        <f>IFERROR(VLOOKUP(G44,Stammdaten!$I$2:$J$5,2,FALSE),"")</f>
        <v>20260205131700798-40543</v>
      </c>
      <c r="I44" s="8" t="s">
        <v>161</v>
      </c>
      <c r="J44" s="8" t="s">
        <v>175</v>
      </c>
      <c r="K44" s="8" t="s">
        <v>68</v>
      </c>
      <c r="N44" s="27">
        <v>59010</v>
      </c>
      <c r="O44" s="27">
        <v>59210</v>
      </c>
      <c r="P44" s="27">
        <f t="shared" si="12"/>
        <v>200</v>
      </c>
      <c r="S44" s="27">
        <f t="shared" si="13"/>
        <v>0</v>
      </c>
      <c r="V44" s="27">
        <f t="shared" si="14"/>
        <v>0</v>
      </c>
      <c r="W44" s="24" t="s">
        <v>1</v>
      </c>
      <c r="X44" s="23">
        <v>9000</v>
      </c>
      <c r="Y44" s="15">
        <v>11.994999999999999</v>
      </c>
      <c r="Z44" s="13" t="s">
        <v>18</v>
      </c>
      <c r="AA44" s="13">
        <v>0</v>
      </c>
      <c r="AB44" s="13">
        <v>0</v>
      </c>
      <c r="AC44" s="13" t="s">
        <v>18</v>
      </c>
      <c r="AD44" s="18">
        <v>46182</v>
      </c>
      <c r="AE44" s="3" t="s">
        <v>153</v>
      </c>
      <c r="AF44" s="3" t="s">
        <v>19</v>
      </c>
      <c r="AG44" s="18">
        <v>46185</v>
      </c>
      <c r="AH44" s="8" t="s">
        <v>35</v>
      </c>
      <c r="AI44" s="3">
        <v>1</v>
      </c>
      <c r="AL44" s="2">
        <v>46188</v>
      </c>
      <c r="AQ44" s="8" t="str">
        <f>IFERROR(VLOOKUP(AP44,Stammdaten!$U$2:$V$3,2,FALSE),"")</f>
        <v/>
      </c>
    </row>
    <row r="45" spans="1:43">
      <c r="A45" s="2" t="str">
        <f t="shared" si="0"/>
        <v>20260609_2PP_Bus 50ym-3</v>
      </c>
      <c r="B45" s="2" t="s">
        <v>218</v>
      </c>
      <c r="C45" s="2">
        <v>46182</v>
      </c>
      <c r="D45" s="3" t="s">
        <v>153</v>
      </c>
      <c r="E45" s="3" t="s">
        <v>167</v>
      </c>
      <c r="G45" s="5" t="s">
        <v>40</v>
      </c>
      <c r="H45" s="8" t="str">
        <f>IFERROR(VLOOKUP(G45,Stammdaten!$I$2:$J$5,2,FALSE),"")</f>
        <v>20260205131700798-40543</v>
      </c>
      <c r="I45" s="8" t="s">
        <v>161</v>
      </c>
      <c r="J45" s="8" t="s">
        <v>175</v>
      </c>
      <c r="K45" s="8" t="s">
        <v>68</v>
      </c>
      <c r="N45" s="27">
        <v>59010</v>
      </c>
      <c r="O45" s="27">
        <v>59210</v>
      </c>
      <c r="P45" s="27">
        <f t="shared" si="12"/>
        <v>200</v>
      </c>
      <c r="W45" s="24" t="s">
        <v>1</v>
      </c>
      <c r="X45" s="23">
        <v>9000</v>
      </c>
      <c r="Y45" s="15">
        <v>11.994999999999999</v>
      </c>
      <c r="Z45" s="13" t="s">
        <v>18</v>
      </c>
      <c r="AA45" s="13">
        <v>0</v>
      </c>
      <c r="AB45" s="13">
        <v>0</v>
      </c>
      <c r="AC45" s="13" t="s">
        <v>18</v>
      </c>
      <c r="AD45" s="18">
        <v>46182</v>
      </c>
      <c r="AE45" s="3" t="s">
        <v>153</v>
      </c>
      <c r="AF45" s="3" t="s">
        <v>19</v>
      </c>
      <c r="AG45" s="18">
        <v>46185</v>
      </c>
      <c r="AH45" s="8" t="s">
        <v>35</v>
      </c>
      <c r="AI45" s="3">
        <v>1</v>
      </c>
      <c r="AL45" s="2">
        <v>46188</v>
      </c>
      <c r="AQ45" s="8" t="str">
        <f>IFERROR(VLOOKUP(AP45,Stammdaten!$U$2:$V$3,2,FALSE),"")</f>
        <v/>
      </c>
    </row>
    <row r="46" spans="1:43">
      <c r="A46" s="2" t="str">
        <f t="shared" si="0"/>
        <v>20260609_2PP_Bus 50ym-4</v>
      </c>
      <c r="B46" s="2" t="s">
        <v>219</v>
      </c>
      <c r="C46" s="2">
        <v>46182</v>
      </c>
      <c r="D46" s="3" t="s">
        <v>153</v>
      </c>
      <c r="E46" s="3" t="s">
        <v>171</v>
      </c>
      <c r="G46" s="5" t="s">
        <v>40</v>
      </c>
      <c r="H46" s="8" t="str">
        <f>IFERROR(VLOOKUP(G46,Stammdaten!$I$2:$J$5,2,FALSE),"")</f>
        <v>20260205131700798-40543</v>
      </c>
      <c r="I46" s="8" t="s">
        <v>161</v>
      </c>
      <c r="J46" s="8" t="s">
        <v>175</v>
      </c>
      <c r="K46" s="8" t="s">
        <v>68</v>
      </c>
      <c r="N46" s="27">
        <v>59010</v>
      </c>
      <c r="O46" s="27">
        <v>59210</v>
      </c>
      <c r="P46" s="27">
        <f t="shared" si="12"/>
        <v>200</v>
      </c>
      <c r="W46" s="24" t="s">
        <v>1</v>
      </c>
      <c r="X46" s="23">
        <v>9000</v>
      </c>
      <c r="Y46" s="15">
        <v>11.994999999999999</v>
      </c>
      <c r="Z46" s="13" t="s">
        <v>18</v>
      </c>
      <c r="AA46" s="13">
        <v>0</v>
      </c>
      <c r="AB46" s="13">
        <v>0</v>
      </c>
      <c r="AC46" s="13" t="s">
        <v>18</v>
      </c>
      <c r="AD46" s="18">
        <v>46182</v>
      </c>
      <c r="AE46" s="3" t="s">
        <v>153</v>
      </c>
      <c r="AF46" s="3" t="s">
        <v>19</v>
      </c>
      <c r="AG46" s="18">
        <v>46185</v>
      </c>
      <c r="AH46" s="8" t="s">
        <v>35</v>
      </c>
      <c r="AI46" s="3">
        <v>1</v>
      </c>
      <c r="AL46" s="2">
        <v>46188</v>
      </c>
      <c r="AQ46" s="8" t="str">
        <f>IFERROR(VLOOKUP(AP46,Stammdaten!$U$2:$V$3,2,FALSE),"")</f>
        <v/>
      </c>
    </row>
    <row r="47" spans="1:43">
      <c r="A47" s="2" t="str">
        <f t="shared" si="0"/>
        <v>20260609_2PP_Bus 50ym</v>
      </c>
      <c r="B47" s="2" t="s">
        <v>220</v>
      </c>
      <c r="C47" s="2">
        <v>46182</v>
      </c>
      <c r="D47" s="3" t="s">
        <v>153</v>
      </c>
      <c r="E47" s="3" t="s">
        <v>160</v>
      </c>
      <c r="G47" s="5" t="s">
        <v>40</v>
      </c>
      <c r="H47" s="8" t="str">
        <f>IFERROR(VLOOKUP(G47,Stammdaten!$I$2:$J$5,2,FALSE),"")</f>
        <v>20260205131700798-40543</v>
      </c>
      <c r="I47" s="8" t="s">
        <v>172</v>
      </c>
      <c r="J47" s="8" t="s">
        <v>176</v>
      </c>
      <c r="K47" s="8" t="s">
        <v>71</v>
      </c>
      <c r="N47" s="27">
        <v>59129</v>
      </c>
      <c r="O47" s="27">
        <v>59239</v>
      </c>
      <c r="P47" s="27">
        <f t="shared" si="12"/>
        <v>110</v>
      </c>
      <c r="W47" s="24" t="s">
        <v>1</v>
      </c>
      <c r="X47" s="23">
        <v>9000</v>
      </c>
      <c r="Y47" s="15">
        <v>11.994999999999999</v>
      </c>
      <c r="Z47" s="13" t="s">
        <v>18</v>
      </c>
      <c r="AA47" s="13">
        <v>0</v>
      </c>
      <c r="AB47" s="13">
        <v>0</v>
      </c>
      <c r="AC47" s="13" t="s">
        <v>18</v>
      </c>
      <c r="AD47" s="18">
        <v>46182</v>
      </c>
      <c r="AE47" s="3" t="s">
        <v>153</v>
      </c>
      <c r="AF47" s="3" t="s">
        <v>19</v>
      </c>
      <c r="AG47" s="18">
        <v>46185</v>
      </c>
      <c r="AH47" s="8" t="s">
        <v>35</v>
      </c>
      <c r="AI47" s="3">
        <v>1</v>
      </c>
      <c r="AL47" s="2">
        <v>46188</v>
      </c>
      <c r="AQ47" s="8" t="str">
        <f>IFERROR(VLOOKUP(AP47,Stammdaten!$U$2:$V$3,2,FALSE),"")</f>
        <v/>
      </c>
    </row>
    <row r="48" spans="1:43">
      <c r="A48" s="2" t="str">
        <f t="shared" si="0"/>
        <v>20260609_2PP_Bus 50ym-2</v>
      </c>
      <c r="B48" s="2" t="s">
        <v>221</v>
      </c>
      <c r="C48" s="2">
        <v>46182</v>
      </c>
      <c r="D48" s="3" t="s">
        <v>153</v>
      </c>
      <c r="E48" s="3" t="s">
        <v>166</v>
      </c>
      <c r="G48" s="5" t="s">
        <v>40</v>
      </c>
      <c r="H48" s="8" t="str">
        <f>IFERROR(VLOOKUP(G48,Stammdaten!$I$2:$J$5,2,FALSE),"")</f>
        <v>20260205131700798-40543</v>
      </c>
      <c r="I48" s="8" t="s">
        <v>172</v>
      </c>
      <c r="J48" s="8" t="s">
        <v>176</v>
      </c>
      <c r="K48" s="8" t="s">
        <v>71</v>
      </c>
      <c r="N48" s="27">
        <v>59129</v>
      </c>
      <c r="O48" s="27">
        <v>59239</v>
      </c>
      <c r="P48" s="27">
        <f t="shared" ref="P48:P57" si="18">O48-N48</f>
        <v>110</v>
      </c>
      <c r="W48" s="24" t="s">
        <v>1</v>
      </c>
      <c r="X48" s="23">
        <v>9000</v>
      </c>
      <c r="Y48" s="15">
        <v>11.994999999999999</v>
      </c>
      <c r="Z48" s="13" t="s">
        <v>18</v>
      </c>
      <c r="AA48" s="13">
        <v>0</v>
      </c>
      <c r="AB48" s="13">
        <v>0</v>
      </c>
      <c r="AC48" s="13" t="s">
        <v>18</v>
      </c>
      <c r="AD48" s="18">
        <v>46182</v>
      </c>
      <c r="AE48" s="3" t="s">
        <v>153</v>
      </c>
      <c r="AF48" s="3" t="s">
        <v>19</v>
      </c>
      <c r="AG48" s="18">
        <v>46185</v>
      </c>
      <c r="AH48" s="8" t="s">
        <v>35</v>
      </c>
      <c r="AI48" s="3">
        <v>1</v>
      </c>
      <c r="AL48" s="2">
        <v>46188</v>
      </c>
      <c r="AQ48" s="8" t="str">
        <f>IFERROR(VLOOKUP(AP48,Stammdaten!$U$2:$V$3,2,FALSE),"")</f>
        <v/>
      </c>
    </row>
    <row r="49" spans="1:43">
      <c r="A49" s="2" t="str">
        <f t="shared" si="0"/>
        <v>20260609_2PP_Bus 50ym-3</v>
      </c>
      <c r="B49" s="2" t="s">
        <v>222</v>
      </c>
      <c r="C49" s="2">
        <v>46182</v>
      </c>
      <c r="D49" s="3" t="s">
        <v>153</v>
      </c>
      <c r="E49" s="3" t="s">
        <v>167</v>
      </c>
      <c r="G49" s="5" t="s">
        <v>40</v>
      </c>
      <c r="H49" s="8" t="str">
        <f>IFERROR(VLOOKUP(G49,Stammdaten!$I$2:$J$5,2,FALSE),"")</f>
        <v>20260205131700798-40543</v>
      </c>
      <c r="I49" s="8" t="s">
        <v>172</v>
      </c>
      <c r="J49" s="8" t="s">
        <v>176</v>
      </c>
      <c r="K49" s="8" t="s">
        <v>71</v>
      </c>
      <c r="N49" s="27">
        <v>59129</v>
      </c>
      <c r="O49" s="27">
        <v>59239</v>
      </c>
      <c r="P49" s="27">
        <f t="shared" si="18"/>
        <v>110</v>
      </c>
      <c r="W49" s="24" t="s">
        <v>1</v>
      </c>
      <c r="X49" s="23">
        <v>9000</v>
      </c>
      <c r="Y49" s="15">
        <v>11.994999999999999</v>
      </c>
      <c r="Z49" s="13" t="s">
        <v>18</v>
      </c>
      <c r="AA49" s="13">
        <v>0</v>
      </c>
      <c r="AB49" s="13">
        <v>0</v>
      </c>
      <c r="AC49" s="13" t="s">
        <v>18</v>
      </c>
      <c r="AD49" s="18">
        <v>46182</v>
      </c>
      <c r="AE49" s="3" t="s">
        <v>153</v>
      </c>
      <c r="AF49" s="3" t="s">
        <v>19</v>
      </c>
      <c r="AG49" s="18">
        <v>46185</v>
      </c>
      <c r="AH49" s="8" t="s">
        <v>35</v>
      </c>
      <c r="AI49" s="3">
        <v>1</v>
      </c>
      <c r="AL49" s="2">
        <v>46188</v>
      </c>
      <c r="AQ49" s="8" t="str">
        <f>IFERROR(VLOOKUP(AP49,Stammdaten!$U$2:$V$3,2,FALSE),"")</f>
        <v/>
      </c>
    </row>
    <row r="50" spans="1:43">
      <c r="A50" s="2" t="str">
        <f t="shared" si="0"/>
        <v>20260609_2PP_Bus 50ym-4</v>
      </c>
      <c r="B50" s="2" t="s">
        <v>223</v>
      </c>
      <c r="C50" s="2">
        <v>46182</v>
      </c>
      <c r="D50" s="3" t="s">
        <v>153</v>
      </c>
      <c r="E50" s="3" t="s">
        <v>171</v>
      </c>
      <c r="G50" s="5" t="s">
        <v>40</v>
      </c>
      <c r="H50" s="8" t="str">
        <f>IFERROR(VLOOKUP(G50,Stammdaten!$I$2:$J$5,2,FALSE),"")</f>
        <v>20260205131700798-40543</v>
      </c>
      <c r="I50" s="8" t="s">
        <v>172</v>
      </c>
      <c r="J50" s="8" t="s">
        <v>176</v>
      </c>
      <c r="K50" s="8" t="s">
        <v>71</v>
      </c>
      <c r="N50" s="27">
        <v>59129</v>
      </c>
      <c r="O50" s="27">
        <v>59239</v>
      </c>
      <c r="P50" s="27">
        <f t="shared" ref="P50" si="19">O50-N50</f>
        <v>110</v>
      </c>
      <c r="W50" s="24" t="s">
        <v>1</v>
      </c>
      <c r="X50" s="23">
        <v>9000</v>
      </c>
      <c r="Y50" s="15">
        <v>11.994999999999999</v>
      </c>
      <c r="Z50" s="13" t="s">
        <v>18</v>
      </c>
      <c r="AA50" s="13">
        <v>0</v>
      </c>
      <c r="AB50" s="13">
        <v>0</v>
      </c>
      <c r="AC50" s="13" t="s">
        <v>18</v>
      </c>
      <c r="AD50" s="18">
        <v>46182</v>
      </c>
      <c r="AE50" s="3" t="s">
        <v>153</v>
      </c>
      <c r="AF50" s="3" t="s">
        <v>19</v>
      </c>
      <c r="AG50" s="18">
        <v>46185</v>
      </c>
      <c r="AH50" s="8" t="s">
        <v>35</v>
      </c>
      <c r="AI50" s="3">
        <v>1</v>
      </c>
      <c r="AL50" s="2">
        <v>46188</v>
      </c>
      <c r="AQ50" s="8" t="str">
        <f>IFERROR(VLOOKUP(AP50,Stammdaten!$U$2:$V$3,2,FALSE),"")</f>
        <v/>
      </c>
    </row>
    <row r="51" spans="1:43">
      <c r="A51" s="2" t="str">
        <f t="shared" si="0"/>
        <v>19000100_2PP_Okawa grid</v>
      </c>
      <c r="B51" s="2" t="s">
        <v>224</v>
      </c>
      <c r="E51" s="3" t="s">
        <v>266</v>
      </c>
      <c r="H51" s="8" t="str">
        <f>IFERROR(VLOOKUP(G51,Stammdaten!$I$2:$J$4,2,FALSE),"")</f>
        <v/>
      </c>
      <c r="P51" s="27">
        <f t="shared" si="18"/>
        <v>0</v>
      </c>
      <c r="AG51" s="18">
        <v>46190</v>
      </c>
      <c r="AH51" s="8" t="s">
        <v>35</v>
      </c>
      <c r="AI51" s="3">
        <v>1</v>
      </c>
      <c r="AQ51" s="8" t="str">
        <f>IFERROR(VLOOKUP(AP51,Stammdaten!$U$2:$V$3,2,FALSE),"")</f>
        <v/>
      </c>
    </row>
    <row r="52" spans="1:43">
      <c r="A52" s="2" t="str">
        <f t="shared" si="0"/>
        <v>20260615_2PP_BCC Lattice Tests</v>
      </c>
      <c r="B52" s="2" t="s">
        <v>225</v>
      </c>
      <c r="C52" s="2">
        <v>46188</v>
      </c>
      <c r="D52" s="3" t="s">
        <v>35</v>
      </c>
      <c r="E52" s="3" t="s">
        <v>267</v>
      </c>
      <c r="G52" s="5" t="s">
        <v>40</v>
      </c>
      <c r="H52" s="8" t="str">
        <f>IFERROR(VLOOKUP(G52,Stammdaten!$I$2:$J$4,2,FALSE),"")</f>
        <v>20260205131700798-40543</v>
      </c>
      <c r="I52" s="8" t="s">
        <v>268</v>
      </c>
      <c r="J52" s="8" t="s">
        <v>269</v>
      </c>
      <c r="K52" s="8" t="s">
        <v>68</v>
      </c>
      <c r="N52" s="27">
        <v>59557</v>
      </c>
      <c r="O52" s="27">
        <v>59737</v>
      </c>
      <c r="P52" s="27">
        <f t="shared" si="18"/>
        <v>180</v>
      </c>
      <c r="W52" s="24" t="s">
        <v>1</v>
      </c>
      <c r="X52" s="23">
        <v>9000</v>
      </c>
      <c r="Y52" s="15">
        <v>12.013999999999999</v>
      </c>
      <c r="Z52" s="13" t="s">
        <v>18</v>
      </c>
      <c r="AA52" s="13">
        <v>0</v>
      </c>
      <c r="AB52" s="13">
        <v>0</v>
      </c>
      <c r="AC52" s="13" t="s">
        <v>18</v>
      </c>
      <c r="AD52" s="18">
        <v>46189</v>
      </c>
      <c r="AE52" s="8" t="s">
        <v>35</v>
      </c>
      <c r="AF52" s="3" t="s">
        <v>19</v>
      </c>
      <c r="AG52" s="18">
        <v>46190</v>
      </c>
      <c r="AH52" s="8" t="s">
        <v>35</v>
      </c>
      <c r="AI52" s="3">
        <v>1</v>
      </c>
      <c r="AQ52" s="8" t="str">
        <f>IFERROR(VLOOKUP(AP52,Stammdaten!$U$2:$V$3,2,FALSE),"")</f>
        <v/>
      </c>
    </row>
    <row r="53" spans="1:43">
      <c r="A53" s="2" t="str">
        <f t="shared" si="0"/>
        <v>20260615_2PP_3-point-bending V01</v>
      </c>
      <c r="B53" s="2" t="s">
        <v>226</v>
      </c>
      <c r="C53" s="2">
        <v>46188</v>
      </c>
      <c r="D53" s="3" t="s">
        <v>35</v>
      </c>
      <c r="E53" s="3" t="s">
        <v>157</v>
      </c>
      <c r="G53" s="5" t="s">
        <v>40</v>
      </c>
      <c r="H53" s="8" t="str">
        <f>IFERROR(VLOOKUP(G53,Stammdaten!$I$2:$J$4,2,FALSE),"")</f>
        <v>20260205131700798-40543</v>
      </c>
      <c r="I53" s="8" t="s">
        <v>268</v>
      </c>
      <c r="J53" s="8" t="s">
        <v>269</v>
      </c>
      <c r="K53" s="8" t="s">
        <v>68</v>
      </c>
      <c r="N53" s="27">
        <v>59557</v>
      </c>
      <c r="O53" s="27">
        <v>59737</v>
      </c>
      <c r="P53" s="27">
        <f t="shared" si="18"/>
        <v>180</v>
      </c>
      <c r="W53" s="24" t="s">
        <v>1</v>
      </c>
      <c r="X53" s="23">
        <v>9000</v>
      </c>
      <c r="Y53" s="15">
        <v>12.013999999999999</v>
      </c>
      <c r="Z53" s="13" t="s">
        <v>18</v>
      </c>
      <c r="AA53" s="13">
        <v>0</v>
      </c>
      <c r="AB53" s="13">
        <v>0</v>
      </c>
      <c r="AC53" s="13" t="s">
        <v>18</v>
      </c>
      <c r="AD53" s="18">
        <v>46189</v>
      </c>
      <c r="AE53" s="8" t="s">
        <v>35</v>
      </c>
      <c r="AF53" s="3" t="s">
        <v>19</v>
      </c>
      <c r="AG53" s="18">
        <v>46190</v>
      </c>
      <c r="AH53" s="8" t="s">
        <v>35</v>
      </c>
      <c r="AI53" s="3">
        <v>1</v>
      </c>
      <c r="AQ53" s="8" t="str">
        <f>IFERROR(VLOOKUP(AP53,Stammdaten!$U$2:$V$3,2,FALSE),"")</f>
        <v/>
      </c>
    </row>
    <row r="54" spans="1:43">
      <c r="A54" s="2" t="str">
        <f t="shared" si="0"/>
        <v>20260616_2PP_Zylinder_5x5x10ym</v>
      </c>
      <c r="B54" s="2" t="s">
        <v>227</v>
      </c>
      <c r="C54" s="2">
        <v>46189</v>
      </c>
      <c r="D54" s="3" t="s">
        <v>154</v>
      </c>
      <c r="E54" s="3" t="s">
        <v>270</v>
      </c>
      <c r="G54" s="5" t="s">
        <v>40</v>
      </c>
      <c r="H54" s="8" t="str">
        <f>IFERROR(VLOOKUP(G54,Stammdaten!$I$2:$J$4,2,FALSE),"")</f>
        <v>20260205131700798-40543</v>
      </c>
      <c r="I54" s="8" t="s">
        <v>272</v>
      </c>
      <c r="J54" s="8" t="s">
        <v>159</v>
      </c>
      <c r="K54" s="8" t="s">
        <v>68</v>
      </c>
      <c r="N54" s="27">
        <v>59620</v>
      </c>
      <c r="O54" s="27">
        <v>59789</v>
      </c>
      <c r="P54" s="27">
        <f t="shared" si="18"/>
        <v>169</v>
      </c>
      <c r="W54" s="24" t="s">
        <v>1</v>
      </c>
      <c r="X54" s="23">
        <v>9000</v>
      </c>
      <c r="Y54" s="15">
        <v>11.944000000000001</v>
      </c>
      <c r="Z54" s="13" t="s">
        <v>18</v>
      </c>
      <c r="AA54" s="13">
        <v>0</v>
      </c>
      <c r="AB54" s="13">
        <v>0</v>
      </c>
      <c r="AC54" s="13" t="s">
        <v>18</v>
      </c>
      <c r="AG54" s="18">
        <v>46190</v>
      </c>
      <c r="AH54" s="8" t="s">
        <v>35</v>
      </c>
      <c r="AI54" s="3">
        <v>1</v>
      </c>
      <c r="AQ54" s="8" t="str">
        <f>IFERROR(VLOOKUP(AP54,Stammdaten!$U$2:$V$3,2,FALSE),"")</f>
        <v/>
      </c>
    </row>
    <row r="55" spans="1:43">
      <c r="A55" s="2" t="str">
        <f>TEXT(C55,"jjjj")&amp;TEXT(C55,"MM")&amp;TEXT(C55,"tt")&amp;"_"&amp;"2PP_"&amp;E55</f>
        <v>20260616_2PP_Zylinder_15x15x30ym</v>
      </c>
      <c r="B55" s="2" t="s">
        <v>228</v>
      </c>
      <c r="C55" s="2">
        <v>46189</v>
      </c>
      <c r="D55" s="3" t="s">
        <v>154</v>
      </c>
      <c r="E55" s="3" t="s">
        <v>271</v>
      </c>
      <c r="G55" s="5" t="s">
        <v>40</v>
      </c>
      <c r="H55" s="8" t="s">
        <v>39</v>
      </c>
      <c r="I55" s="8" t="s">
        <v>272</v>
      </c>
      <c r="J55" s="8" t="s">
        <v>159</v>
      </c>
      <c r="K55" s="8" t="s">
        <v>68</v>
      </c>
      <c r="N55" s="27">
        <v>59620</v>
      </c>
      <c r="O55" s="27">
        <v>59789</v>
      </c>
      <c r="P55" s="27">
        <f t="shared" si="18"/>
        <v>169</v>
      </c>
      <c r="W55" s="24" t="s">
        <v>1</v>
      </c>
      <c r="X55" s="23">
        <v>9000</v>
      </c>
      <c r="Y55" s="15">
        <v>11.944000000000001</v>
      </c>
      <c r="Z55" s="13" t="s">
        <v>18</v>
      </c>
      <c r="AA55" s="13">
        <v>0</v>
      </c>
      <c r="AB55" s="13">
        <v>0</v>
      </c>
      <c r="AC55" s="13" t="s">
        <v>18</v>
      </c>
      <c r="AG55" s="18">
        <v>46190</v>
      </c>
      <c r="AH55" s="8" t="s">
        <v>35</v>
      </c>
      <c r="AI55" s="3">
        <v>1</v>
      </c>
      <c r="AQ55" s="8" t="str">
        <f>IFERROR(VLOOKUP(AP55,Stammdaten!$U$2:$V$3,2,FALSE),"")</f>
        <v/>
      </c>
    </row>
    <row r="56" spans="1:43">
      <c r="A56" s="2" t="str">
        <f t="shared" si="0"/>
        <v>20260616_2PP_Seerose 100 ym</v>
      </c>
      <c r="B56" s="2" t="s">
        <v>229</v>
      </c>
      <c r="C56" s="2">
        <v>46189</v>
      </c>
      <c r="D56" s="3" t="s">
        <v>153</v>
      </c>
      <c r="E56" s="3" t="s">
        <v>277</v>
      </c>
      <c r="G56" s="5" t="s">
        <v>40</v>
      </c>
      <c r="H56" s="8" t="s">
        <v>39</v>
      </c>
      <c r="I56" s="8" t="s">
        <v>273</v>
      </c>
      <c r="J56" s="8" t="s">
        <v>274</v>
      </c>
      <c r="K56" s="8" t="s">
        <v>275</v>
      </c>
      <c r="N56" s="27">
        <v>33859</v>
      </c>
      <c r="O56" s="27">
        <v>33977</v>
      </c>
      <c r="P56" s="27">
        <f t="shared" si="18"/>
        <v>118</v>
      </c>
      <c r="W56" s="24" t="s">
        <v>93</v>
      </c>
      <c r="X56" s="23">
        <v>9000</v>
      </c>
      <c r="Y56" s="15">
        <v>11.944000000000001</v>
      </c>
      <c r="Z56" s="13" t="s">
        <v>18</v>
      </c>
      <c r="AA56" s="13">
        <v>0</v>
      </c>
      <c r="AB56" s="13">
        <v>0</v>
      </c>
      <c r="AC56" s="13" t="s">
        <v>18</v>
      </c>
      <c r="AD56" s="18">
        <v>46189</v>
      </c>
      <c r="AE56" s="8" t="s">
        <v>153</v>
      </c>
      <c r="AF56" s="3" t="s">
        <v>276</v>
      </c>
      <c r="AG56" s="18">
        <v>46190</v>
      </c>
      <c r="AH56" s="8" t="s">
        <v>35</v>
      </c>
      <c r="AI56" s="3">
        <v>1</v>
      </c>
      <c r="AL56" s="2">
        <v>46191</v>
      </c>
      <c r="AQ56" s="8" t="str">
        <f>IFERROR(VLOOKUP(AP56,Stammdaten!$U$2:$V$3,2,FALSE),"")</f>
        <v/>
      </c>
    </row>
    <row r="57" spans="1:43">
      <c r="A57" s="2" t="str">
        <f t="shared" si="0"/>
        <v>20260616_2PP_Seerose 200 ym</v>
      </c>
      <c r="B57" s="2" t="s">
        <v>230</v>
      </c>
      <c r="C57" s="2">
        <v>46189</v>
      </c>
      <c r="D57" s="3" t="s">
        <v>153</v>
      </c>
      <c r="E57" s="3" t="s">
        <v>278</v>
      </c>
      <c r="G57" s="5" t="s">
        <v>40</v>
      </c>
      <c r="H57" s="8" t="s">
        <v>39</v>
      </c>
      <c r="I57" s="8" t="s">
        <v>273</v>
      </c>
      <c r="J57" s="8" t="s">
        <v>274</v>
      </c>
      <c r="K57" s="8" t="s">
        <v>275</v>
      </c>
      <c r="N57" s="27">
        <v>33859</v>
      </c>
      <c r="O57" s="27">
        <v>33977</v>
      </c>
      <c r="P57" s="27">
        <f t="shared" si="18"/>
        <v>118</v>
      </c>
      <c r="W57" s="24" t="s">
        <v>93</v>
      </c>
      <c r="X57" s="23">
        <v>9000</v>
      </c>
      <c r="Y57" s="15">
        <v>11.944000000000001</v>
      </c>
      <c r="Z57" s="13" t="s">
        <v>18</v>
      </c>
      <c r="AA57" s="13">
        <v>0</v>
      </c>
      <c r="AB57" s="13">
        <v>0</v>
      </c>
      <c r="AC57" s="13" t="s">
        <v>18</v>
      </c>
      <c r="AD57" s="18">
        <v>46189</v>
      </c>
      <c r="AE57" s="8" t="s">
        <v>153</v>
      </c>
      <c r="AF57" s="3" t="s">
        <v>276</v>
      </c>
      <c r="AG57" s="18">
        <v>46190</v>
      </c>
      <c r="AH57" s="8" t="s">
        <v>35</v>
      </c>
      <c r="AI57" s="3">
        <v>1</v>
      </c>
      <c r="AL57" s="2">
        <v>46191</v>
      </c>
      <c r="AQ57" s="8" t="str">
        <f>IFERROR(VLOOKUP(AP57,Stammdaten!$U$2:$V$3,2,FALSE),"")</f>
        <v/>
      </c>
    </row>
    <row r="58" spans="1:43">
      <c r="A58" s="2" t="str">
        <f t="shared" si="0"/>
        <v>20260616_2PP_Seerose 300 ym</v>
      </c>
      <c r="B58" s="2" t="s">
        <v>231</v>
      </c>
      <c r="C58" s="2">
        <v>46189</v>
      </c>
      <c r="D58" s="3" t="s">
        <v>153</v>
      </c>
      <c r="E58" s="3" t="s">
        <v>279</v>
      </c>
      <c r="G58" s="5" t="s">
        <v>40</v>
      </c>
      <c r="H58" s="8" t="s">
        <v>39</v>
      </c>
      <c r="I58" s="8" t="s">
        <v>273</v>
      </c>
      <c r="J58" s="8" t="s">
        <v>274</v>
      </c>
      <c r="K58" s="8" t="s">
        <v>275</v>
      </c>
      <c r="N58" s="27">
        <v>33859</v>
      </c>
      <c r="O58" s="27">
        <v>33977</v>
      </c>
      <c r="P58" s="27">
        <f t="shared" ref="P58:P66" si="20">O58-N58</f>
        <v>118</v>
      </c>
      <c r="W58" s="24" t="s">
        <v>93</v>
      </c>
      <c r="X58" s="23">
        <v>9000</v>
      </c>
      <c r="Y58" s="15">
        <v>11.944000000000001</v>
      </c>
      <c r="Z58" s="13" t="s">
        <v>18</v>
      </c>
      <c r="AA58" s="13">
        <v>0</v>
      </c>
      <c r="AB58" s="13">
        <v>0</v>
      </c>
      <c r="AC58" s="13" t="s">
        <v>18</v>
      </c>
      <c r="AD58" s="18">
        <v>46189</v>
      </c>
      <c r="AE58" s="8" t="s">
        <v>153</v>
      </c>
      <c r="AF58" s="3" t="s">
        <v>276</v>
      </c>
      <c r="AG58" s="18">
        <v>46190</v>
      </c>
      <c r="AH58" s="8" t="s">
        <v>35</v>
      </c>
      <c r="AI58" s="3">
        <v>1</v>
      </c>
      <c r="AL58" s="2">
        <v>46191</v>
      </c>
      <c r="AQ58" s="8" t="str">
        <f>IFERROR(VLOOKUP(AP58,Stammdaten!$U$2:$V$3,2,FALSE),"")</f>
        <v/>
      </c>
    </row>
    <row r="59" spans="1:43">
      <c r="A59" s="2" t="str">
        <f t="shared" si="0"/>
        <v>20260616_2PP_Seerose 400 ym</v>
      </c>
      <c r="B59" s="2" t="s">
        <v>232</v>
      </c>
      <c r="C59" s="2">
        <v>46189</v>
      </c>
      <c r="D59" s="3" t="s">
        <v>153</v>
      </c>
      <c r="E59" s="3" t="s">
        <v>280</v>
      </c>
      <c r="G59" s="5" t="s">
        <v>40</v>
      </c>
      <c r="H59" s="8" t="s">
        <v>39</v>
      </c>
      <c r="I59" s="8" t="s">
        <v>273</v>
      </c>
      <c r="J59" s="8" t="s">
        <v>274</v>
      </c>
      <c r="K59" s="8" t="s">
        <v>275</v>
      </c>
      <c r="N59" s="27">
        <v>33859</v>
      </c>
      <c r="O59" s="27">
        <v>33977</v>
      </c>
      <c r="P59" s="27">
        <f t="shared" si="20"/>
        <v>118</v>
      </c>
      <c r="W59" s="24" t="s">
        <v>93</v>
      </c>
      <c r="X59" s="23">
        <v>9000</v>
      </c>
      <c r="Y59" s="15">
        <v>11.944000000000001</v>
      </c>
      <c r="Z59" s="13" t="s">
        <v>18</v>
      </c>
      <c r="AA59" s="13">
        <v>0</v>
      </c>
      <c r="AB59" s="13">
        <v>0</v>
      </c>
      <c r="AC59" s="13" t="s">
        <v>18</v>
      </c>
      <c r="AD59" s="18">
        <v>46189</v>
      </c>
      <c r="AE59" s="8" t="s">
        <v>153</v>
      </c>
      <c r="AF59" s="3" t="s">
        <v>276</v>
      </c>
      <c r="AG59" s="18">
        <v>46190</v>
      </c>
      <c r="AH59" s="8" t="s">
        <v>35</v>
      </c>
      <c r="AI59" s="3">
        <v>1</v>
      </c>
      <c r="AL59" s="2">
        <v>46191</v>
      </c>
      <c r="AQ59" s="8" t="str">
        <f>IFERROR(VLOOKUP(AP59,Stammdaten!$U$2:$V$3,2,FALSE),"")</f>
        <v/>
      </c>
    </row>
    <row r="60" spans="1:43">
      <c r="A60" s="2" t="str">
        <f t="shared" si="0"/>
        <v>20260616_2PP_Seerose 200 ym</v>
      </c>
      <c r="B60" s="2" t="s">
        <v>233</v>
      </c>
      <c r="C60" s="2">
        <v>46189</v>
      </c>
      <c r="D60" s="3" t="s">
        <v>153</v>
      </c>
      <c r="E60" s="3" t="s">
        <v>278</v>
      </c>
      <c r="G60" s="5" t="s">
        <v>40</v>
      </c>
      <c r="H60" s="8" t="s">
        <v>39</v>
      </c>
      <c r="I60" s="8" t="s">
        <v>273</v>
      </c>
      <c r="J60" s="8" t="s">
        <v>274</v>
      </c>
      <c r="K60" s="8" t="s">
        <v>275</v>
      </c>
      <c r="N60" s="27">
        <v>33859</v>
      </c>
      <c r="O60" s="27">
        <v>33977</v>
      </c>
      <c r="P60" s="27">
        <f t="shared" si="20"/>
        <v>118</v>
      </c>
      <c r="W60" s="24" t="s">
        <v>93</v>
      </c>
      <c r="X60" s="23">
        <v>9000</v>
      </c>
      <c r="Y60" s="15">
        <v>11.944000000000001</v>
      </c>
      <c r="Z60" s="13" t="s">
        <v>18</v>
      </c>
      <c r="AA60" s="13">
        <v>0</v>
      </c>
      <c r="AB60" s="13">
        <v>0</v>
      </c>
      <c r="AC60" s="13" t="s">
        <v>18</v>
      </c>
      <c r="AD60" s="18">
        <v>46189</v>
      </c>
      <c r="AE60" s="8" t="s">
        <v>153</v>
      </c>
      <c r="AF60" s="3" t="s">
        <v>276</v>
      </c>
      <c r="AG60" s="18">
        <v>46190</v>
      </c>
      <c r="AH60" s="8" t="s">
        <v>35</v>
      </c>
      <c r="AI60" s="3">
        <v>1</v>
      </c>
      <c r="AL60" s="2">
        <v>46191</v>
      </c>
      <c r="AQ60" s="8" t="str">
        <f>IFERROR(VLOOKUP(AP60,Stammdaten!$U$2:$V$3,2,FALSE),"")</f>
        <v/>
      </c>
    </row>
    <row r="61" spans="1:43">
      <c r="A61" s="2" t="str">
        <f t="shared" si="0"/>
        <v>20260616_2PP_Seerose 300 ym</v>
      </c>
      <c r="B61" s="2" t="s">
        <v>234</v>
      </c>
      <c r="C61" s="2">
        <v>46189</v>
      </c>
      <c r="D61" s="3" t="s">
        <v>153</v>
      </c>
      <c r="E61" s="3" t="s">
        <v>279</v>
      </c>
      <c r="G61" s="5" t="s">
        <v>40</v>
      </c>
      <c r="H61" s="8" t="s">
        <v>39</v>
      </c>
      <c r="I61" s="8" t="s">
        <v>273</v>
      </c>
      <c r="J61" s="8" t="s">
        <v>274</v>
      </c>
      <c r="K61" s="8" t="s">
        <v>275</v>
      </c>
      <c r="N61" s="27">
        <v>33859</v>
      </c>
      <c r="O61" s="27">
        <v>33977</v>
      </c>
      <c r="P61" s="27">
        <f t="shared" si="20"/>
        <v>118</v>
      </c>
      <c r="W61" s="24" t="s">
        <v>93</v>
      </c>
      <c r="X61" s="23">
        <v>9000</v>
      </c>
      <c r="Y61" s="15">
        <v>11.944000000000001</v>
      </c>
      <c r="Z61" s="13" t="s">
        <v>18</v>
      </c>
      <c r="AA61" s="13">
        <v>0</v>
      </c>
      <c r="AB61" s="13">
        <v>0</v>
      </c>
      <c r="AC61" s="13" t="s">
        <v>18</v>
      </c>
      <c r="AD61" s="18">
        <v>46189</v>
      </c>
      <c r="AE61" s="8" t="s">
        <v>153</v>
      </c>
      <c r="AF61" s="3" t="s">
        <v>276</v>
      </c>
      <c r="AG61" s="18">
        <v>46190</v>
      </c>
      <c r="AH61" s="8" t="s">
        <v>35</v>
      </c>
      <c r="AI61" s="3">
        <v>1</v>
      </c>
      <c r="AL61" s="2">
        <v>46191</v>
      </c>
      <c r="AQ61" s="8" t="str">
        <f>IFERROR(VLOOKUP(AP61,Stammdaten!$U$2:$V$3,2,FALSE),"")</f>
        <v/>
      </c>
    </row>
    <row r="62" spans="1:43">
      <c r="A62" s="2" t="str">
        <f t="shared" si="0"/>
        <v>20260623_2PP_speed modulation tests</v>
      </c>
      <c r="B62" s="2" t="s">
        <v>235</v>
      </c>
      <c r="C62" s="2">
        <v>46196</v>
      </c>
      <c r="D62" s="3" t="s">
        <v>35</v>
      </c>
      <c r="E62" s="3" t="s">
        <v>281</v>
      </c>
      <c r="G62" s="5" t="s">
        <v>40</v>
      </c>
      <c r="H62" s="8" t="str">
        <f>IFERROR(VLOOKUP(G62,Stammdaten!$I$2:$J$4,2,FALSE),"")</f>
        <v>20260205131700798-40543</v>
      </c>
      <c r="I62" s="3" t="s">
        <v>285</v>
      </c>
      <c r="J62" s="3" t="s">
        <v>286</v>
      </c>
      <c r="K62" s="3" t="s">
        <v>68</v>
      </c>
      <c r="N62" s="27">
        <v>59622</v>
      </c>
      <c r="O62" s="27">
        <v>59798</v>
      </c>
      <c r="P62" s="27">
        <f t="shared" si="20"/>
        <v>176</v>
      </c>
      <c r="W62" s="24" t="s">
        <v>1</v>
      </c>
      <c r="X62" s="23">
        <v>9000</v>
      </c>
      <c r="Y62" s="15">
        <v>12.272</v>
      </c>
      <c r="Z62" s="13" t="s">
        <v>18</v>
      </c>
      <c r="AA62" s="13">
        <v>0</v>
      </c>
      <c r="AB62" s="13">
        <v>0</v>
      </c>
      <c r="AC62" s="13" t="s">
        <v>18</v>
      </c>
      <c r="AD62" s="18">
        <v>46196</v>
      </c>
      <c r="AE62" s="8" t="s">
        <v>35</v>
      </c>
      <c r="AF62" s="3" t="s">
        <v>19</v>
      </c>
      <c r="AQ62" s="8" t="str">
        <f>IFERROR(VLOOKUP(AP62,Stammdaten!$U$2:$V$3,2,FALSE),"")</f>
        <v/>
      </c>
    </row>
    <row r="63" spans="1:43">
      <c r="A63" s="2" t="str">
        <f t="shared" si="0"/>
        <v>20260623_2PP_power modulation tests</v>
      </c>
      <c r="B63" s="2" t="s">
        <v>236</v>
      </c>
      <c r="C63" s="2">
        <v>46196</v>
      </c>
      <c r="D63" s="3" t="s">
        <v>35</v>
      </c>
      <c r="E63" s="3" t="s">
        <v>283</v>
      </c>
      <c r="G63" s="5" t="s">
        <v>40</v>
      </c>
      <c r="H63" s="8" t="str">
        <f>IFERROR(VLOOKUP(G63,Stammdaten!$I$2:$J$4,2,FALSE),"")</f>
        <v>20260205131700798-40543</v>
      </c>
      <c r="I63" s="3" t="s">
        <v>285</v>
      </c>
      <c r="J63" s="3" t="s">
        <v>286</v>
      </c>
      <c r="K63" s="3" t="s">
        <v>68</v>
      </c>
      <c r="N63" s="27">
        <v>59622</v>
      </c>
      <c r="O63" s="27">
        <v>59798</v>
      </c>
      <c r="P63" s="27">
        <f t="shared" si="20"/>
        <v>176</v>
      </c>
      <c r="W63" s="24" t="s">
        <v>1</v>
      </c>
      <c r="X63" s="23">
        <v>9000</v>
      </c>
      <c r="Y63" s="15">
        <v>12.272</v>
      </c>
      <c r="Z63" s="13" t="s">
        <v>18</v>
      </c>
      <c r="AA63" s="13">
        <v>0</v>
      </c>
      <c r="AB63" s="13">
        <v>0</v>
      </c>
      <c r="AC63" s="13" t="s">
        <v>18</v>
      </c>
      <c r="AD63" s="18">
        <v>46196</v>
      </c>
      <c r="AE63" s="8" t="s">
        <v>35</v>
      </c>
      <c r="AF63" s="3" t="s">
        <v>19</v>
      </c>
      <c r="AQ63" s="8" t="str">
        <f>IFERROR(VLOOKUP(AP63,Stammdaten!$U$2:$V$3,2,FALSE),"")</f>
        <v/>
      </c>
    </row>
    <row r="64" spans="1:43">
      <c r="A64" s="2" t="str">
        <f t="shared" si="0"/>
        <v>20260623_2PP_pause modulation tests</v>
      </c>
      <c r="B64" s="2" t="s">
        <v>237</v>
      </c>
      <c r="C64" s="2">
        <v>46196</v>
      </c>
      <c r="D64" s="3" t="s">
        <v>35</v>
      </c>
      <c r="E64" s="3" t="s">
        <v>284</v>
      </c>
      <c r="G64" s="5" t="s">
        <v>40</v>
      </c>
      <c r="H64" s="8" t="str">
        <f>IFERROR(VLOOKUP(G64,Stammdaten!$I$2:$J$4,2,FALSE),"")</f>
        <v>20260205131700798-40543</v>
      </c>
      <c r="I64" s="3" t="s">
        <v>285</v>
      </c>
      <c r="J64" s="3" t="s">
        <v>286</v>
      </c>
      <c r="K64" s="3" t="s">
        <v>68</v>
      </c>
      <c r="N64" s="27">
        <v>59622</v>
      </c>
      <c r="O64" s="27">
        <v>59798</v>
      </c>
      <c r="P64" s="27">
        <f t="shared" si="20"/>
        <v>176</v>
      </c>
      <c r="W64" s="24" t="s">
        <v>1</v>
      </c>
      <c r="X64" s="23">
        <v>9000</v>
      </c>
      <c r="Y64" s="15">
        <v>12.272</v>
      </c>
      <c r="Z64" s="13" t="s">
        <v>18</v>
      </c>
      <c r="AA64" s="13">
        <v>0</v>
      </c>
      <c r="AB64" s="13">
        <v>0</v>
      </c>
      <c r="AC64" s="13" t="s">
        <v>18</v>
      </c>
      <c r="AD64" s="18">
        <v>46196</v>
      </c>
      <c r="AE64" s="8" t="s">
        <v>35</v>
      </c>
      <c r="AF64" s="3" t="s">
        <v>19</v>
      </c>
      <c r="AQ64" s="8" t="str">
        <f>IFERROR(VLOOKUP(AP64,Stammdaten!$U$2:$V$3,2,FALSE),"")</f>
        <v/>
      </c>
    </row>
    <row r="65" spans="1:43">
      <c r="A65" s="2" t="str">
        <f t="shared" si="0"/>
        <v>20260623_2PP_cubes u Schwarz P array nanoindent(8mW)</v>
      </c>
      <c r="B65" s="2" t="s">
        <v>238</v>
      </c>
      <c r="C65" s="2">
        <v>46196</v>
      </c>
      <c r="D65" s="3" t="s">
        <v>35</v>
      </c>
      <c r="E65" s="3" t="s">
        <v>139</v>
      </c>
      <c r="G65" s="5" t="s">
        <v>40</v>
      </c>
      <c r="H65" s="8" t="str">
        <f>IFERROR(VLOOKUP(G65,Stammdaten!$I$2:$J$4,2,FALSE),"")</f>
        <v>20260205131700798-40543</v>
      </c>
      <c r="I65" s="3" t="s">
        <v>285</v>
      </c>
      <c r="J65" s="3" t="s">
        <v>286</v>
      </c>
      <c r="K65" s="3" t="s">
        <v>68</v>
      </c>
      <c r="N65" s="27">
        <v>59622</v>
      </c>
      <c r="O65" s="27">
        <v>59798</v>
      </c>
      <c r="P65" s="27">
        <f t="shared" si="20"/>
        <v>176</v>
      </c>
      <c r="W65" s="24" t="s">
        <v>1</v>
      </c>
      <c r="X65" s="23">
        <v>9000</v>
      </c>
      <c r="Y65" s="15">
        <v>12.272</v>
      </c>
      <c r="Z65" s="13" t="s">
        <v>18</v>
      </c>
      <c r="AA65" s="13">
        <v>-0.27200000000000002</v>
      </c>
      <c r="AB65" s="13">
        <v>0.63900000000000001</v>
      </c>
      <c r="AC65" s="13" t="s">
        <v>6</v>
      </c>
      <c r="AD65" s="18">
        <v>46196</v>
      </c>
      <c r="AE65" s="8" t="s">
        <v>35</v>
      </c>
      <c r="AF65" s="3" t="s">
        <v>19</v>
      </c>
      <c r="AQ65" s="8" t="str">
        <f>IFERROR(VLOOKUP(AP65,Stammdaten!$U$2:$V$3,2,FALSE),"")</f>
        <v/>
      </c>
    </row>
    <row r="66" spans="1:43">
      <c r="A66" s="2" t="str">
        <f t="shared" si="0"/>
        <v>20260623_2PP_cubes u Schwarz P array nanoindent(8mW)</v>
      </c>
      <c r="B66" s="2" t="s">
        <v>239</v>
      </c>
      <c r="C66" s="2">
        <v>46196</v>
      </c>
      <c r="D66" s="3" t="s">
        <v>35</v>
      </c>
      <c r="E66" s="3" t="s">
        <v>139</v>
      </c>
      <c r="G66" s="5" t="s">
        <v>40</v>
      </c>
      <c r="H66" s="8" t="str">
        <f>IFERROR(VLOOKUP(G66,Stammdaten!$I$2:$J$4,2,FALSE),"")</f>
        <v>20260205131700798-40543</v>
      </c>
      <c r="I66" s="3" t="s">
        <v>285</v>
      </c>
      <c r="J66" s="3" t="s">
        <v>286</v>
      </c>
      <c r="K66" s="3" t="s">
        <v>68</v>
      </c>
      <c r="N66" s="27">
        <v>59622</v>
      </c>
      <c r="O66" s="27">
        <v>59798</v>
      </c>
      <c r="P66" s="27">
        <f t="shared" si="20"/>
        <v>176</v>
      </c>
      <c r="W66" s="24" t="s">
        <v>1</v>
      </c>
      <c r="X66" s="23">
        <v>9000</v>
      </c>
      <c r="Y66" s="15">
        <v>12.272</v>
      </c>
      <c r="Z66" s="13" t="s">
        <v>18</v>
      </c>
      <c r="AC66" s="13" t="s">
        <v>6</v>
      </c>
      <c r="AD66" s="18">
        <v>46196</v>
      </c>
      <c r="AE66" s="8" t="s">
        <v>35</v>
      </c>
      <c r="AF66" s="3" t="s">
        <v>19</v>
      </c>
      <c r="AQ66" s="8" t="str">
        <f>IFERROR(VLOOKUP(AP66,Stammdaten!$U$2:$V$3,2,FALSE),"")</f>
        <v/>
      </c>
    </row>
    <row r="67" spans="1:43">
      <c r="A67" s="2" t="str">
        <f t="shared" si="0"/>
        <v>20260623_2PP_cubes u Schwarz P array nanoindent(8mW)</v>
      </c>
      <c r="B67" s="2" t="s">
        <v>240</v>
      </c>
      <c r="C67" s="2">
        <v>46196</v>
      </c>
      <c r="D67" s="3" t="s">
        <v>35</v>
      </c>
      <c r="E67" s="3" t="s">
        <v>139</v>
      </c>
      <c r="G67" s="5" t="s">
        <v>40</v>
      </c>
      <c r="H67" s="8" t="str">
        <f>IFERROR(VLOOKUP(G67,Stammdaten!$I$2:$J$4,2,FALSE),"")</f>
        <v>20260205131700798-40543</v>
      </c>
      <c r="I67" s="8" t="s">
        <v>282</v>
      </c>
      <c r="J67" s="8" t="s">
        <v>287</v>
      </c>
      <c r="K67" s="3" t="s">
        <v>68</v>
      </c>
      <c r="W67" s="24" t="s">
        <v>1</v>
      </c>
      <c r="X67" s="23">
        <v>9000</v>
      </c>
      <c r="Y67" s="15">
        <v>12.272</v>
      </c>
      <c r="Z67" s="13" t="s">
        <v>18</v>
      </c>
      <c r="AC67" s="13" t="s">
        <v>6</v>
      </c>
      <c r="AQ67" s="8" t="str">
        <f>IFERROR(VLOOKUP(AP67,Stammdaten!$U$2:$V$3,2,FALSE),"")</f>
        <v/>
      </c>
    </row>
    <row r="68" spans="1:43">
      <c r="A68" s="2" t="str">
        <f t="shared" ref="A68:A76" si="21">TEXT(C68,"jjjj")&amp;TEXT(C68,"MM")&amp;TEXT(C68,"tt")&amp;"_"&amp;"2PP_"&amp;E68</f>
        <v>19000100_2PP_</v>
      </c>
      <c r="B68" s="2" t="s">
        <v>241</v>
      </c>
      <c r="H68" s="8" t="str">
        <f>IFERROR(VLOOKUP(G68,Stammdaten!$I$2:$J$4,2,FALSE),"")</f>
        <v/>
      </c>
      <c r="AQ68" s="8" t="str">
        <f>IFERROR(VLOOKUP(AP68,Stammdaten!$U$2:$V$3,2,FALSE),"")</f>
        <v/>
      </c>
    </row>
    <row r="69" spans="1:43">
      <c r="A69" s="2" t="str">
        <f t="shared" si="21"/>
        <v>19000100_2PP_</v>
      </c>
      <c r="B69" s="2" t="s">
        <v>242</v>
      </c>
      <c r="H69" s="8" t="str">
        <f>IFERROR(VLOOKUP(G69,Stammdaten!$I$2:$J$4,2,FALSE),"")</f>
        <v/>
      </c>
      <c r="AQ69" s="8" t="str">
        <f>IFERROR(VLOOKUP(AP69,Stammdaten!$U$2:$V$3,2,FALSE),"")</f>
        <v/>
      </c>
    </row>
    <row r="70" spans="1:43">
      <c r="A70" s="2" t="str">
        <f t="shared" si="21"/>
        <v>19000100_2PP_</v>
      </c>
      <c r="B70" s="2" t="s">
        <v>243</v>
      </c>
      <c r="H70" s="8" t="str">
        <f>IFERROR(VLOOKUP(G70,Stammdaten!$I$2:$J$4,2,FALSE),"")</f>
        <v/>
      </c>
      <c r="AQ70" s="8" t="str">
        <f>IFERROR(VLOOKUP(AP70,Stammdaten!$U$2:$V$3,2,FALSE),"")</f>
        <v/>
      </c>
    </row>
    <row r="71" spans="1:43">
      <c r="A71" s="2" t="str">
        <f t="shared" si="21"/>
        <v>19000100_2PP_</v>
      </c>
      <c r="B71" s="2" t="s">
        <v>244</v>
      </c>
      <c r="H71" s="8" t="str">
        <f>IFERROR(VLOOKUP(G71,Stammdaten!$I$2:$J$4,2,FALSE),"")</f>
        <v/>
      </c>
      <c r="AQ71" s="8" t="str">
        <f>IFERROR(VLOOKUP(AP71,Stammdaten!$U$2:$V$3,2,FALSE),"")</f>
        <v/>
      </c>
    </row>
    <row r="72" spans="1:43">
      <c r="A72" s="2" t="str">
        <f t="shared" si="21"/>
        <v>19000100_2PP_</v>
      </c>
      <c r="B72" s="2" t="s">
        <v>245</v>
      </c>
      <c r="H72" s="8" t="str">
        <f>IFERROR(VLOOKUP(G72,Stammdaten!$I$2:$J$4,2,FALSE),"")</f>
        <v/>
      </c>
      <c r="AQ72" s="8" t="str">
        <f>IFERROR(VLOOKUP(AP72,Stammdaten!$U$2:$V$3,2,FALSE),"")</f>
        <v/>
      </c>
    </row>
    <row r="73" spans="1:43">
      <c r="A73" s="2" t="str">
        <f t="shared" si="21"/>
        <v>19000100_2PP_</v>
      </c>
      <c r="B73" s="2" t="s">
        <v>246</v>
      </c>
      <c r="H73" s="8" t="str">
        <f>IFERROR(VLOOKUP(G73,Stammdaten!$I$2:$J$4,2,FALSE),"")</f>
        <v/>
      </c>
      <c r="AQ73" s="8" t="str">
        <f>IFERROR(VLOOKUP(AP73,Stammdaten!$U$2:$V$3,2,FALSE),"")</f>
        <v/>
      </c>
    </row>
    <row r="74" spans="1:43">
      <c r="A74" s="2" t="str">
        <f t="shared" si="21"/>
        <v>19000100_2PP_</v>
      </c>
      <c r="B74" s="2" t="s">
        <v>247</v>
      </c>
      <c r="H74" s="8" t="str">
        <f>IFERROR(VLOOKUP(G74,Stammdaten!$I$2:$J$4,2,FALSE),"")</f>
        <v/>
      </c>
      <c r="AQ74" s="8" t="str">
        <f>IFERROR(VLOOKUP(AP74,Stammdaten!$U$2:$V$3,2,FALSE),"")</f>
        <v/>
      </c>
    </row>
    <row r="75" spans="1:43">
      <c r="A75" s="2" t="str">
        <f t="shared" si="21"/>
        <v>19000100_2PP_</v>
      </c>
      <c r="B75" s="2" t="s">
        <v>248</v>
      </c>
      <c r="H75" s="8" t="str">
        <f>IFERROR(VLOOKUP(G75,Stammdaten!$I$2:$J$4,2,FALSE),"")</f>
        <v/>
      </c>
      <c r="AQ75" s="8" t="str">
        <f>IFERROR(VLOOKUP(AP75,Stammdaten!$U$2:$V$3,2,FALSE),"")</f>
        <v/>
      </c>
    </row>
    <row r="76" spans="1:43">
      <c r="A76" s="2" t="str">
        <f t="shared" si="21"/>
        <v>19000100_2PP_</v>
      </c>
      <c r="B76" s="2" t="s">
        <v>249</v>
      </c>
      <c r="H76" s="8" t="str">
        <f>IFERROR(VLOOKUP(G76,Stammdaten!$I$2:$J$4,2,FALSE),"")</f>
        <v/>
      </c>
      <c r="AQ76" s="8" t="str">
        <f>IFERROR(VLOOKUP(AP76,Stammdaten!$U$2:$V$3,2,FALSE),"")</f>
        <v/>
      </c>
    </row>
    <row r="77" spans="1:43">
      <c r="B77" s="2" t="s">
        <v>250</v>
      </c>
      <c r="H77" s="8" t="str">
        <f>IFERROR(VLOOKUP(G77,Stammdaten!$I$2:$J$4,2,FALSE),"")</f>
        <v/>
      </c>
      <c r="AQ77" s="8" t="str">
        <f>IFERROR(VLOOKUP(AP77,Stammdaten!$U$2:$V$3,2,FALSE),"")</f>
        <v/>
      </c>
    </row>
    <row r="78" spans="1:43">
      <c r="B78" s="2" t="s">
        <v>251</v>
      </c>
      <c r="H78" s="8" t="str">
        <f>IFERROR(VLOOKUP(G78,Stammdaten!$I$2:$J$4,2,FALSE),"")</f>
        <v/>
      </c>
      <c r="AQ78" s="8" t="str">
        <f>IFERROR(VLOOKUP(AP78,Stammdaten!$U$2:$V$3,2,FALSE),"")</f>
        <v/>
      </c>
    </row>
    <row r="79" spans="1:43">
      <c r="B79" s="2" t="s">
        <v>252</v>
      </c>
      <c r="H79" s="8" t="str">
        <f>IFERROR(VLOOKUP(G79,Stammdaten!$I$2:$J$4,2,FALSE),"")</f>
        <v/>
      </c>
      <c r="AQ79" s="8" t="str">
        <f>IFERROR(VLOOKUP(AP79,Stammdaten!$U$2:$V$3,2,FALSE),"")</f>
        <v/>
      </c>
    </row>
    <row r="80" spans="1:43">
      <c r="B80" s="2" t="s">
        <v>253</v>
      </c>
      <c r="H80" s="8" t="str">
        <f>IFERROR(VLOOKUP(G80,Stammdaten!$I$2:$J$4,2,FALSE),"")</f>
        <v/>
      </c>
      <c r="AQ80" s="8" t="str">
        <f>IFERROR(VLOOKUP(AP80,Stammdaten!$U$2:$V$3,2,FALSE),"")</f>
        <v/>
      </c>
    </row>
    <row r="81" spans="2:43">
      <c r="B81" s="2" t="s">
        <v>254</v>
      </c>
      <c r="H81" s="8" t="str">
        <f>IFERROR(VLOOKUP(G81,Stammdaten!$I$2:$J$4,2,FALSE),"")</f>
        <v/>
      </c>
      <c r="AQ81" s="8" t="str">
        <f>IFERROR(VLOOKUP(AP81,Stammdaten!$U$2:$V$3,2,FALSE),"")</f>
        <v/>
      </c>
    </row>
    <row r="82" spans="2:43">
      <c r="B82" s="2" t="s">
        <v>255</v>
      </c>
      <c r="H82" s="8" t="str">
        <f>IFERROR(VLOOKUP(G82,Stammdaten!$I$2:$J$4,2,FALSE),"")</f>
        <v/>
      </c>
      <c r="AQ82" s="8" t="str">
        <f>IFERROR(VLOOKUP(AP82,Stammdaten!$U$2:$V$3,2,FALSE),"")</f>
        <v/>
      </c>
    </row>
    <row r="83" spans="2:43">
      <c r="B83" s="2" t="s">
        <v>256</v>
      </c>
      <c r="H83" s="8" t="str">
        <f>IFERROR(VLOOKUP(G83,Stammdaten!$I$2:$J$4,2,FALSE),"")</f>
        <v/>
      </c>
      <c r="AQ83" s="8" t="str">
        <f>IFERROR(VLOOKUP(AP83,Stammdaten!$U$2:$V$3,2,FALSE),"")</f>
        <v/>
      </c>
    </row>
    <row r="84" spans="2:43">
      <c r="B84" s="2" t="s">
        <v>257</v>
      </c>
      <c r="H84" s="8" t="str">
        <f>IFERROR(VLOOKUP(G84,Stammdaten!$I$2:$J$4,2,FALSE),"")</f>
        <v/>
      </c>
      <c r="AQ84" s="8" t="str">
        <f>IFERROR(VLOOKUP(AP84,Stammdaten!$U$2:$V$3,2,FALSE),"")</f>
        <v/>
      </c>
    </row>
    <row r="85" spans="2:43">
      <c r="B85" s="2"/>
      <c r="H85" s="8" t="str">
        <f>IFERROR(VLOOKUP(G85,Stammdaten!$I$2:$J$4,2,FALSE),"")</f>
        <v/>
      </c>
      <c r="AQ85" s="8" t="str">
        <f>IFERROR(VLOOKUP(AP85,Stammdaten!$U$2:$V$3,2,FALSE),"")</f>
        <v/>
      </c>
    </row>
    <row r="86" spans="2:43">
      <c r="B86" s="2"/>
      <c r="H86" s="8" t="str">
        <f>IFERROR(VLOOKUP(G86,Stammdaten!$I$2:$J$4,2,FALSE),"")</f>
        <v/>
      </c>
      <c r="AQ86" s="8" t="str">
        <f>IFERROR(VLOOKUP(AP86,Stammdaten!$U$2:$V$3,2,FALSE),"")</f>
        <v/>
      </c>
    </row>
    <row r="87" spans="2:43">
      <c r="B87" s="2"/>
      <c r="H87" s="8" t="str">
        <f>IFERROR(VLOOKUP(G87,Stammdaten!$I$2:$J$4,2,FALSE),"")</f>
        <v/>
      </c>
      <c r="AQ87" s="8" t="str">
        <f>IFERROR(VLOOKUP(AP87,Stammdaten!$U$2:$V$3,2,FALSE),"")</f>
        <v/>
      </c>
    </row>
    <row r="88" spans="2:43">
      <c r="B88" s="2"/>
      <c r="H88" s="8" t="str">
        <f>IFERROR(VLOOKUP(G88,Stammdaten!$I$2:$J$4,2,FALSE),"")</f>
        <v/>
      </c>
      <c r="AQ88" s="8" t="str">
        <f>IFERROR(VLOOKUP(AP88,Stammdaten!$U$2:$V$3,2,FALSE),"")</f>
        <v/>
      </c>
    </row>
    <row r="89" spans="2:43">
      <c r="B89" s="2"/>
      <c r="H89" s="8" t="str">
        <f>IFERROR(VLOOKUP(G89,Stammdaten!$I$2:$J$4,2,FALSE),"")</f>
        <v/>
      </c>
      <c r="AQ89" s="8" t="str">
        <f>IFERROR(VLOOKUP(AP89,Stammdaten!$U$2:$V$3,2,FALSE),"")</f>
        <v/>
      </c>
    </row>
    <row r="90" spans="2:43">
      <c r="B90" s="2"/>
      <c r="H90" s="8" t="str">
        <f>IFERROR(VLOOKUP(G90,Stammdaten!$I$2:$J$4,2,FALSE),"")</f>
        <v/>
      </c>
      <c r="AQ90" s="8" t="str">
        <f>IFERROR(VLOOKUP(AP90,Stammdaten!$U$2:$V$3,2,FALSE),"")</f>
        <v/>
      </c>
    </row>
    <row r="91" spans="2:43">
      <c r="B91" s="2"/>
      <c r="H91" s="8" t="str">
        <f>IFERROR(VLOOKUP(G91,Stammdaten!$I$2:$J$4,2,FALSE),"")</f>
        <v/>
      </c>
      <c r="AQ91" s="8" t="str">
        <f>IFERROR(VLOOKUP(AP91,Stammdaten!$U$2:$V$3,2,FALSE),"")</f>
        <v/>
      </c>
    </row>
    <row r="92" spans="2:43">
      <c r="B92" s="2"/>
      <c r="H92" s="8" t="str">
        <f>IFERROR(VLOOKUP(G92,Stammdaten!$I$2:$J$4,2,FALSE),"")</f>
        <v/>
      </c>
      <c r="AQ92" s="8" t="str">
        <f>IFERROR(VLOOKUP(AP92,Stammdaten!$U$2:$V$3,2,FALSE),"")</f>
        <v/>
      </c>
    </row>
    <row r="93" spans="2:43">
      <c r="B93" s="2"/>
      <c r="H93" s="8" t="str">
        <f>IFERROR(VLOOKUP(G93,Stammdaten!$I$2:$J$4,2,FALSE),"")</f>
        <v/>
      </c>
      <c r="AQ93" s="8" t="str">
        <f>IFERROR(VLOOKUP(AP93,Stammdaten!$U$2:$V$3,2,FALSE),"")</f>
        <v/>
      </c>
    </row>
    <row r="94" spans="2:43">
      <c r="B94" s="2"/>
      <c r="H94" s="8" t="str">
        <f>IFERROR(VLOOKUP(G94,Stammdaten!$I$2:$J$4,2,FALSE),"")</f>
        <v/>
      </c>
      <c r="AQ94" s="8" t="str">
        <f>IFERROR(VLOOKUP(AP94,Stammdaten!$U$2:$V$3,2,FALSE),"")</f>
        <v/>
      </c>
    </row>
    <row r="95" spans="2:43">
      <c r="B95" s="2"/>
      <c r="H95" s="8" t="str">
        <f>IFERROR(VLOOKUP(G95,Stammdaten!$I$2:$J$4,2,FALSE),"")</f>
        <v/>
      </c>
      <c r="AQ95" s="8" t="str">
        <f>IFERROR(VLOOKUP(AP95,Stammdaten!$U$2:$V$3,2,FALSE),"")</f>
        <v/>
      </c>
    </row>
    <row r="96" spans="2:43">
      <c r="B96" s="2"/>
      <c r="H96" s="8" t="str">
        <f>IFERROR(VLOOKUP(G96,Stammdaten!$I$2:$J$4,2,FALSE),"")</f>
        <v/>
      </c>
      <c r="AQ96" s="8" t="str">
        <f>IFERROR(VLOOKUP(AP96,Stammdaten!$U$2:$V$3,2,FALSE),"")</f>
        <v/>
      </c>
    </row>
    <row r="97" spans="2:43">
      <c r="B97" s="2"/>
      <c r="H97" s="8" t="str">
        <f>IFERROR(VLOOKUP(G97,Stammdaten!$I$2:$J$4,2,FALSE),"")</f>
        <v/>
      </c>
      <c r="AQ97" s="8" t="str">
        <f>IFERROR(VLOOKUP(AP97,Stammdaten!$U$2:$V$3,2,FALSE),"")</f>
        <v/>
      </c>
    </row>
    <row r="98" spans="2:43">
      <c r="B98" s="2"/>
      <c r="H98" s="8" t="str">
        <f>IFERROR(VLOOKUP(G98,Stammdaten!$I$2:$J$4,2,FALSE),"")</f>
        <v/>
      </c>
      <c r="AQ98" s="8" t="str">
        <f>IFERROR(VLOOKUP(AP98,Stammdaten!$U$2:$V$3,2,FALSE),"")</f>
        <v/>
      </c>
    </row>
    <row r="99" spans="2:43">
      <c r="B99" s="2"/>
      <c r="H99" s="8" t="str">
        <f>IFERROR(VLOOKUP(G99,Stammdaten!$I$2:$J$4,2,FALSE),"")</f>
        <v/>
      </c>
      <c r="AQ99" s="8" t="str">
        <f>IFERROR(VLOOKUP(AP99,Stammdaten!$U$2:$V$3,2,FALSE),"")</f>
        <v/>
      </c>
    </row>
    <row r="100" spans="2:43">
      <c r="B100" s="2"/>
      <c r="H100" s="8" t="str">
        <f>IFERROR(VLOOKUP(G100,Stammdaten!$I$2:$J$4,2,FALSE),"")</f>
        <v/>
      </c>
      <c r="AQ100" s="8" t="str">
        <f>IFERROR(VLOOKUP(AP100,Stammdaten!$U$2:$V$3,2,FALSE),"")</f>
        <v/>
      </c>
    </row>
    <row r="101" spans="2:43">
      <c r="B101" s="2"/>
      <c r="H101" s="8" t="str">
        <f>IFERROR(VLOOKUP(G101,Stammdaten!$I$2:$J$4,2,FALSE),"")</f>
        <v/>
      </c>
      <c r="AQ101" s="8" t="str">
        <f>IFERROR(VLOOKUP(AP101,Stammdaten!$U$2:$V$3,2,FALSE),"")</f>
        <v/>
      </c>
    </row>
    <row r="102" spans="2:43">
      <c r="B102" s="2"/>
      <c r="H102" s="8" t="str">
        <f>IFERROR(VLOOKUP(G102,Stammdaten!$I$2:$J$4,2,FALSE),"")</f>
        <v/>
      </c>
      <c r="AQ102" s="8" t="str">
        <f>IFERROR(VLOOKUP(AP102,Stammdaten!$U$2:$V$3,2,FALSE),"")</f>
        <v/>
      </c>
    </row>
    <row r="103" spans="2:43">
      <c r="B103" s="2"/>
      <c r="H103" s="8" t="str">
        <f>IFERROR(VLOOKUP(G103,Stammdaten!$I$2:$J$4,2,FALSE),"")</f>
        <v/>
      </c>
      <c r="AQ103" s="8" t="str">
        <f>IFERROR(VLOOKUP(AP103,Stammdaten!$U$2:$V$3,2,FALSE),"")</f>
        <v/>
      </c>
    </row>
    <row r="104" spans="2:43">
      <c r="B104" s="2"/>
      <c r="H104" s="8" t="str">
        <f>IFERROR(VLOOKUP(G104,Stammdaten!$I$2:$J$4,2,FALSE),"")</f>
        <v/>
      </c>
      <c r="AQ104" s="8" t="str">
        <f>IFERROR(VLOOKUP(AP104,Stammdaten!$U$2:$V$3,2,FALSE),"")</f>
        <v/>
      </c>
    </row>
    <row r="105" spans="2:43">
      <c r="B105" s="2"/>
      <c r="H105" s="8" t="str">
        <f>IFERROR(VLOOKUP(G105,Stammdaten!$I$2:$J$4,2,FALSE),"")</f>
        <v/>
      </c>
      <c r="AQ105" s="8" t="str">
        <f>IFERROR(VLOOKUP(AP105,Stammdaten!$U$2:$V$3,2,FALSE),"")</f>
        <v/>
      </c>
    </row>
    <row r="106" spans="2:43">
      <c r="B106" s="2"/>
      <c r="H106" s="8" t="str">
        <f>IFERROR(VLOOKUP(G106,Stammdaten!$I$2:$J$4,2,FALSE),"")</f>
        <v/>
      </c>
      <c r="AQ106" s="8" t="str">
        <f>IFERROR(VLOOKUP(AP106,Stammdaten!$U$2:$V$3,2,FALSE),"")</f>
        <v/>
      </c>
    </row>
    <row r="107" spans="2:43">
      <c r="B107" s="2"/>
      <c r="AQ107" s="8" t="str">
        <f>IFERROR(VLOOKUP(AP107,Stammdaten!$U$2:$V$3,2,FALSE),"")</f>
        <v/>
      </c>
    </row>
    <row r="108" spans="2:43">
      <c r="B108" s="2"/>
      <c r="AQ108" s="8" t="str">
        <f>IFERROR(VLOOKUP(AP108,Stammdaten!$U$2:$V$3,2,FALSE),"")</f>
        <v/>
      </c>
    </row>
    <row r="109" spans="2:43">
      <c r="B109" s="2"/>
      <c r="AQ109" s="8" t="str">
        <f>IFERROR(VLOOKUP(AP109,Stammdaten!$U$2:$V$3,2,FALSE),"")</f>
        <v/>
      </c>
    </row>
    <row r="110" spans="2:43">
      <c r="B110" s="2"/>
      <c r="AQ110" s="8" t="str">
        <f>IFERROR(VLOOKUP(AP110,Stammdaten!$U$2:$V$3,2,FALSE),"")</f>
        <v/>
      </c>
    </row>
    <row r="111" spans="2:43">
      <c r="B111" s="2"/>
      <c r="AQ111" s="8" t="str">
        <f>IFERROR(VLOOKUP(AP111,Stammdaten!$U$2:$V$3,2,FALSE),"")</f>
        <v/>
      </c>
    </row>
    <row r="112" spans="2:43">
      <c r="B112" s="2"/>
      <c r="AQ112" s="8" t="str">
        <f>IFERROR(VLOOKUP(AP112,Stammdaten!$U$2:$V$3,2,FALSE),"")</f>
        <v/>
      </c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</sheetData>
  <autoFilter ref="A2:AU112" xr:uid="{8F204D75-A62C-4AF1-815B-0E82D1E135FA}"/>
  <mergeCells count="8">
    <mergeCell ref="AS1:AT1"/>
    <mergeCell ref="AO1:AR1"/>
    <mergeCell ref="AJ1:AM1"/>
    <mergeCell ref="A1:F1"/>
    <mergeCell ref="AG1:AI1"/>
    <mergeCell ref="AD1:AF1"/>
    <mergeCell ref="N1:AC1"/>
    <mergeCell ref="G1:L1"/>
  </mergeCells>
  <phoneticPr fontId="11" type="noConversion"/>
  <hyperlinks>
    <hyperlink ref="F19" r:id="rId1" xr:uid="{0880BBA4-983C-4347-9E71-017D8411407B}"/>
    <hyperlink ref="F12" r:id="rId2" xr:uid="{8987CE30-FC3F-47F9-BED3-7AC1F9D59B5F}"/>
    <hyperlink ref="F18" r:id="rId3" xr:uid="{4BA9769D-EDFB-4108-89B9-A6D0D21C924D}"/>
    <hyperlink ref="F16" r:id="rId4" xr:uid="{92DB48E4-FAD7-43F5-9176-8D2529BE44D9}"/>
    <hyperlink ref="F17" r:id="rId5" xr:uid="{581C3CE9-74EB-49D8-8E5E-9678F93FA3BE}"/>
    <hyperlink ref="F15" r:id="rId6" xr:uid="{C4FA2883-C39B-49E2-B2E8-8279DA897C76}"/>
    <hyperlink ref="F14" r:id="rId7" xr:uid="{91E112C1-72E6-4CDD-9E7A-573C2C5F2E51}"/>
    <hyperlink ref="F9" r:id="rId8" xr:uid="{8E6A66D8-101E-4641-8754-F8A2BB558F37}"/>
    <hyperlink ref="F6" r:id="rId9" xr:uid="{D0AF93C0-52B6-47D4-B40E-E1DC2B19D061}"/>
    <hyperlink ref="F7" r:id="rId10" xr:uid="{A65EBAE0-3F5F-4371-B146-C9EF4FDFB361}"/>
    <hyperlink ref="F8" r:id="rId11" xr:uid="{BC8D2F08-2D7D-4A83-8389-E71CF7CC5E2C}"/>
    <hyperlink ref="F10" r:id="rId12" xr:uid="{48F92027-F7F6-433E-9028-FB1DBACF007A}"/>
    <hyperlink ref="F5" r:id="rId13" xr:uid="{6D6344BB-1235-410E-BB86-1A9611C783C4}"/>
    <hyperlink ref="F4" r:id="rId14" xr:uid="{E262830F-51CA-42AC-A6C3-578044A68D36}"/>
    <hyperlink ref="F3" r:id="rId15" xr:uid="{67F22F13-536B-4246-A400-8C2694F7F0CA}"/>
    <hyperlink ref="F20" r:id="rId16" xr:uid="{B7B72254-AA33-4E77-B048-8D80703FCDAF}"/>
    <hyperlink ref="F11" r:id="rId17" xr:uid="{CD1D9098-5834-4CF0-888E-AACFBDFF844C}"/>
    <hyperlink ref="F21" r:id="rId18" xr:uid="{D2662FBA-0B46-4A09-8B7A-4812F45D25E3}"/>
    <hyperlink ref="F22" r:id="rId19" xr:uid="{87FAFFEF-02DD-4285-A69D-B47B3AD968C0}"/>
    <hyperlink ref="F26" r:id="rId20" xr:uid="{5A68FE41-5B7A-4C79-AAD6-495312C28611}"/>
    <hyperlink ref="F25" r:id="rId21" xr:uid="{D9219192-069F-4D59-B83C-427D8B617932}"/>
    <hyperlink ref="F24" r:id="rId22" xr:uid="{0EC7B28E-B162-4F83-82A2-86AC10C7FA34}"/>
    <hyperlink ref="F23" r:id="rId23" xr:uid="{C2093AAE-C0BD-42D0-897D-6FB540665614}"/>
    <hyperlink ref="F32" r:id="rId24" xr:uid="{24D49812-4174-4D0F-A96D-3CD1850E3892}"/>
    <hyperlink ref="F31" r:id="rId25" xr:uid="{B88AE613-8E3D-414B-A96A-5AB4C19BBC9A}"/>
    <hyperlink ref="F29" r:id="rId26" xr:uid="{7AF215C1-42A3-4F71-96CD-5B426E684C0E}"/>
    <hyperlink ref="F30" r:id="rId27" xr:uid="{8C66103F-EA70-4D8A-9B1C-41B92FF0CC9A}"/>
    <hyperlink ref="F27" r:id="rId28" xr:uid="{C8F9170E-DFED-4EDD-857D-5B630AA997E3}"/>
    <hyperlink ref="F28" r:id="rId29" xr:uid="{99ADBB28-C99E-4C8C-BA7B-A8168953593B}"/>
  </hyperlinks>
  <pageMargins left="0.7" right="0.7" top="0.78740157499999996" bottom="0.78740157499999996" header="0.3" footer="0.3"/>
  <pageSetup paperSize="9" orientation="portrait" r:id="rId3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4EE28AE-1F85-4C3D-9976-AEBD452D15B0}">
          <x14:formula1>
            <xm:f>Stammdaten!$I$2:$I$4</xm:f>
          </x14:formula1>
          <xm:sqref>H107:H1048576</xm:sqref>
        </x14:dataValidation>
        <x14:dataValidation type="list" allowBlank="1" showInputMessage="1" showErrorMessage="1" xr:uid="{6C508E7C-DA25-4129-B71A-83494C902184}">
          <x14:formula1>
            <xm:f>Stammdaten!$C$3:$C$8</xm:f>
          </x14:formula1>
          <xm:sqref>D67:D1048576 AH3:AH1048576 D3:D64 AE3:AE1048576</xm:sqref>
        </x14:dataValidation>
        <x14:dataValidation type="list" allowBlank="1" showInputMessage="1" showErrorMessage="1" xr:uid="{F7162AD3-43BB-486E-A50C-58ADD02AF976}">
          <x14:formula1>
            <xm:f>Stammdaten!$E$2:$E$3</xm:f>
          </x14:formula1>
          <xm:sqref>W3:W1048576</xm:sqref>
        </x14:dataValidation>
        <x14:dataValidation type="list" allowBlank="1" showInputMessage="1" showErrorMessage="1" xr:uid="{8B8F5C88-D5D2-4687-9336-A666B4B5A6FA}">
          <x14:formula1>
            <xm:f>Stammdaten!$M$2:$M$3</xm:f>
          </x14:formula1>
          <xm:sqref>AC26 AA105:AB1048576 Z3:Z1048576</xm:sqref>
        </x14:dataValidation>
        <x14:dataValidation type="list" allowBlank="1" showInputMessage="1" showErrorMessage="1" xr:uid="{C0B83FED-EA8E-4C3D-90FB-DC8C27EECF30}">
          <x14:formula1>
            <xm:f>Stammdaten!$N$2:$N$3</xm:f>
          </x14:formula1>
          <xm:sqref>AC3:AC25 AC27:AC1048576</xm:sqref>
        </x14:dataValidation>
        <x14:dataValidation type="list" allowBlank="1" showInputMessage="1" showErrorMessage="1" xr:uid="{8D9911DC-911C-4EB8-BFF9-B2FF5765C9C1}">
          <x14:formula1>
            <xm:f>Stammdaten!$C$3:$C$5</xm:f>
          </x14:formula1>
          <xm:sqref>AN20:AN32 AN3:AN18</xm:sqref>
        </x14:dataValidation>
        <x14:dataValidation type="list" allowBlank="1" showInputMessage="1" showErrorMessage="1" xr:uid="{FADD9397-4C9B-405E-B7AC-CF6355CF9C43}">
          <x14:formula1>
            <xm:f>Stammdaten!$U$2:$U$3</xm:f>
          </x14:formula1>
          <xm:sqref>AP3:AP1048576</xm:sqref>
        </x14:dataValidation>
        <x14:dataValidation type="list" allowBlank="1" showInputMessage="1" showErrorMessage="1" xr:uid="{F6E8B1E5-CB60-40EB-B77C-344C24D2B8EA}">
          <x14:formula1>
            <xm:f>Stammdaten!$J$2:$J$40</xm:f>
          </x14:formula1>
          <xm:sqref>H3:H106</xm:sqref>
        </x14:dataValidation>
        <x14:dataValidation type="list" allowBlank="1" showInputMessage="1" showErrorMessage="1" xr:uid="{48FACDD9-BFBD-48B1-AFCD-B41052AE147F}">
          <x14:formula1>
            <xm:f>Stammdaten!$I$2:$I$42</xm:f>
          </x14:formula1>
          <xm:sqref>G3:G33 H34 G35 G37:G1048576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7FF0-EF56-430B-A8A6-597A93739AFA}">
  <dimension ref="A1:W8"/>
  <sheetViews>
    <sheetView workbookViewId="0">
      <selection activeCell="M29" sqref="M29"/>
    </sheetView>
  </sheetViews>
  <sheetFormatPr baseColWidth="10" defaultRowHeight="13.8"/>
  <cols>
    <col min="9" max="9" width="36" customWidth="1"/>
    <col min="10" max="10" width="23.19921875" customWidth="1"/>
    <col min="12" max="12" width="12.19921875" customWidth="1"/>
    <col min="15" max="15" width="15.69921875" customWidth="1"/>
    <col min="16" max="16" width="15.5" customWidth="1"/>
    <col min="18" max="18" width="12.69921875" customWidth="1"/>
  </cols>
  <sheetData>
    <row r="1" spans="1:23" s="1" customFormat="1" ht="14.4">
      <c r="A1" s="1" t="s">
        <v>16</v>
      </c>
      <c r="B1" s="1" t="s">
        <v>3</v>
      </c>
      <c r="C1" s="1" t="s">
        <v>2</v>
      </c>
      <c r="D1" s="1" t="s">
        <v>15</v>
      </c>
      <c r="E1" s="1" t="s">
        <v>0</v>
      </c>
      <c r="F1" s="1" t="s">
        <v>10</v>
      </c>
      <c r="G1" s="1" t="s">
        <v>11</v>
      </c>
      <c r="H1" s="1" t="s">
        <v>17</v>
      </c>
      <c r="I1" s="1" t="s">
        <v>7</v>
      </c>
      <c r="J1" s="1" t="s">
        <v>38</v>
      </c>
      <c r="K1" s="1" t="s">
        <v>4</v>
      </c>
      <c r="L1" s="1" t="s">
        <v>41</v>
      </c>
      <c r="M1" s="1" t="s">
        <v>5</v>
      </c>
      <c r="N1" s="1" t="s">
        <v>13</v>
      </c>
      <c r="O1" s="1" t="s">
        <v>8</v>
      </c>
      <c r="P1" s="1" t="s">
        <v>12</v>
      </c>
      <c r="Q1" s="1" t="s">
        <v>9</v>
      </c>
      <c r="R1" s="1" t="s">
        <v>14</v>
      </c>
      <c r="S1" s="1" t="s">
        <v>20</v>
      </c>
      <c r="T1" s="1" t="s">
        <v>21</v>
      </c>
      <c r="U1" s="1" t="s">
        <v>23</v>
      </c>
      <c r="V1" s="1" t="s">
        <v>60</v>
      </c>
      <c r="W1" s="1" t="s">
        <v>53</v>
      </c>
    </row>
    <row r="2" spans="1:23">
      <c r="C2" t="s">
        <v>2</v>
      </c>
      <c r="E2" t="s">
        <v>1</v>
      </c>
      <c r="I2" t="s">
        <v>40</v>
      </c>
      <c r="J2" t="s">
        <v>39</v>
      </c>
      <c r="M2" t="s">
        <v>6</v>
      </c>
      <c r="N2" t="s">
        <v>6</v>
      </c>
      <c r="P2" t="s">
        <v>19</v>
      </c>
      <c r="U2" t="s">
        <v>58</v>
      </c>
      <c r="V2" t="s">
        <v>118</v>
      </c>
      <c r="W2" t="s">
        <v>56</v>
      </c>
    </row>
    <row r="3" spans="1:23">
      <c r="C3" t="s">
        <v>34</v>
      </c>
      <c r="E3" t="s">
        <v>93</v>
      </c>
      <c r="I3" t="s">
        <v>119</v>
      </c>
      <c r="J3" t="s">
        <v>120</v>
      </c>
      <c r="M3" t="s">
        <v>18</v>
      </c>
      <c r="N3" t="s">
        <v>18</v>
      </c>
      <c r="U3" t="s">
        <v>59</v>
      </c>
      <c r="V3" t="s">
        <v>117</v>
      </c>
      <c r="W3" t="s">
        <v>57</v>
      </c>
    </row>
    <row r="4" spans="1:23">
      <c r="C4" t="s">
        <v>35</v>
      </c>
      <c r="I4" t="s">
        <v>73</v>
      </c>
      <c r="J4" t="s">
        <v>72</v>
      </c>
    </row>
    <row r="5" spans="1:23">
      <c r="C5" t="s">
        <v>36</v>
      </c>
      <c r="I5" t="s">
        <v>125</v>
      </c>
      <c r="J5" s="20" t="s">
        <v>124</v>
      </c>
    </row>
    <row r="6" spans="1:23">
      <c r="C6" t="s">
        <v>153</v>
      </c>
    </row>
    <row r="7" spans="1:23">
      <c r="C7" t="s">
        <v>154</v>
      </c>
    </row>
    <row r="8" spans="1:23">
      <c r="C8" t="s">
        <v>36</v>
      </c>
      <c r="I8" t="s">
        <v>169</v>
      </c>
      <c r="J8" s="20" t="s">
        <v>170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Stammdaten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Linden, Anna</dc:creator>
  <cp:lastModifiedBy>Linden, Anna</cp:lastModifiedBy>
  <dcterms:created xsi:type="dcterms:W3CDTF">2026-02-09T08:05:29Z</dcterms:created>
  <dcterms:modified xsi:type="dcterms:W3CDTF">2026-06-23T14:09:12Z</dcterms:modified>
</cp:coreProperties>
</file>